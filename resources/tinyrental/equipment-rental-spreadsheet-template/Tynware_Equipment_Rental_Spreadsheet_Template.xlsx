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0c88999a64c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adf366dd0db74ec3"/>
    <x:sheet xmlns:r="http://schemas.openxmlformats.org/officeDocument/2006/relationships" name="Bookings" sheetId="2" r:id="Rddb3bc0cd9dc4fbc"/>
    <x:sheet xmlns:r="http://schemas.openxmlformats.org/officeDocument/2006/relationships" name="Availability" sheetId="3" r:id="R37a4aec6abe54a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color rgb="FF374151"/>
      <x:name val="Carlito"/>
    </x:font>
    <x:font>
      <x:b/>
      <x:sz val="14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DDEAF7"/>
      </x:patternFill>
    </x:fill>
    <x:fill>
      <x:patternFill patternType="solid">
        <x:fgColor rgb="FFEEF2F7"/>
      </x:patternFill>
    </x:fill>
  </x:fills>
  <x:borders count="26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202" fontId="0" fillId="0" borderId="1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6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12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4" borderId="18" xfId="0" applyNumberFormat="1" applyFont="1" applyFill="1" applyBorder="1"/>
    <x:xf numFmtId="0" fontId="4" fillId="4" borderId="18" xfId="0" applyNumberFormat="1" applyFont="1" applyFill="1" applyBorder="1"/>
    <x:xf numFmtId="0" fontId="4" fillId="4" borderId="18" xfId="0" applyNumberFormat="1" applyFont="1" applyFill="1" applyBorder="1" applyAlignment="1">
      <x:alignment horizontal="center"/>
    </x:xf>
    <x:xf numFmtId="0" fontId="4" fillId="4" borderId="18" xfId="0" applyNumberFormat="1" applyFont="1" applyFill="1" applyBorder="1" applyAlignment="1">
      <x:alignment horizontal="center" vertical="center"/>
    </x:xf>
    <x:xf numFmtId="0" fontId="0" fillId="4" borderId="21" xfId="0" applyNumberFormat="1" applyFont="1" applyFill="1" applyBorder="1"/>
    <x:xf numFmtId="0" fontId="4" fillId="4" borderId="21" xfId="0" applyNumberFormat="1" applyFont="1" applyFill="1" applyBorder="1"/>
    <x:xf numFmtId="0" fontId="4" fillId="4" borderId="21" xfId="0" applyNumberFormat="1" applyFont="1" applyFill="1" applyBorder="1" applyAlignment="1">
      <x:alignment horizontal="center"/>
    </x:xf>
    <x:xf numFmtId="0" fontId="4" fillId="4" borderId="21" xfId="0" applyNumberFormat="1" applyFont="1" applyFill="1" applyBorder="1" applyAlignment="1">
      <x:alignment horizontal="center" vertical="center"/>
    </x:xf>
    <x:xf numFmtId="0" fontId="0" fillId="4" borderId="19" xfId="0" applyNumberFormat="1" applyFont="1" applyFill="1" applyBorder="1"/>
    <x:xf numFmtId="0" fontId="4" fillId="4" borderId="19" xfId="0" applyNumberFormat="1" applyFont="1" applyFill="1" applyBorder="1"/>
    <x:xf numFmtId="0" fontId="4" fillId="4" borderId="19" xfId="0" applyNumberFormat="1" applyFont="1" applyFill="1" applyBorder="1" applyAlignment="1">
      <x:alignment horizontal="center"/>
    </x:xf>
    <x:xf numFmtId="0" fontId="4" fillId="4" borderId="19" xfId="0" applyNumberFormat="1" applyFont="1" applyFill="1" applyBorder="1" applyAlignment="1">
      <x:alignment horizontal="center" vertical="center"/>
    </x:xf>
    <x:xf numFmtId="0" fontId="0" fillId="4" borderId="22" xfId="0" applyNumberFormat="1" applyFont="1" applyFill="1" applyBorder="1"/>
    <x:xf numFmtId="0" fontId="4" fillId="4" borderId="22" xfId="0" applyNumberFormat="1" applyFont="1" applyFill="1" applyBorder="1"/>
    <x:xf numFmtId="0" fontId="4" fillId="4" borderId="22" xfId="0" applyNumberFormat="1" applyFont="1" applyFill="1" applyBorder="1" applyAlignment="1">
      <x:alignment horizontal="center"/>
    </x:xf>
    <x:xf numFmtId="0" fontId="4" fillId="4" borderId="22" xfId="0" applyNumberFormat="1" applyFont="1" applyFill="1" applyBorder="1" applyAlignment="1">
      <x:alignment horizontal="center" vertical="center"/>
    </x:xf>
    <x:xf numFmtId="202" fontId="0" fillId="0" borderId="19" xfId="0" applyNumberFormat="1" applyFont="1" applyFill="1" applyBorder="1"/>
    <x:xf numFmtId="202" fontId="0" fillId="0" borderId="22" xfId="0" applyNumberFormat="1" applyFont="1" applyFill="1" applyBorder="1"/>
    <x:xf numFmtId="202" fontId="0" fillId="0" borderId="20" xfId="0" applyNumberFormat="1" applyFont="1" applyFill="1" applyBorder="1"/>
    <x:xf numFmtId="202" fontId="0" fillId="0" borderId="23" xfId="0" applyNumberFormat="1" applyFont="1" applyFill="1" applyBorder="1"/>
    <x:xf numFmtId="202" fontId="0" fillId="0" borderId="19" xfId="0" applyNumberFormat="1" applyFont="1" applyFill="1" applyBorder="1" applyAlignment="1">
      <x:alignment horizontal="center"/>
    </x:xf>
    <x:xf numFmtId="202" fontId="0" fillId="0" borderId="22" xfId="0" applyNumberFormat="1" applyFont="1" applyFill="1" applyBorder="1" applyAlignment="1">
      <x:alignment horizontal="center"/>
    </x:xf>
    <x:xf numFmtId="202" fontId="0" fillId="0" borderId="20" xfId="0" applyNumberFormat="1" applyFont="1" applyFill="1" applyBorder="1" applyAlignment="1">
      <x:alignment horizontal="center"/>
    </x:xf>
    <x:xf numFmtId="202" fontId="0" fillId="0" borderId="2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6" fillId="0" borderId="7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center" vertical="center"/>
    </x:xf>
    <x:xf numFmtId="0" fontId="5" fillId="5" borderId="10" xfId="0" applyNumberFormat="1" applyFont="1" applyFill="1" applyBorder="1" applyAlignment="1">
      <x:alignment horizontal="center"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5" borderId="12" xfId="0" applyNumberFormat="1" applyFont="1" applyFill="1" applyBorder="1" applyAlignment="1">
      <x:alignment horizontal="center" vertical="center" wrapText="1"/>
    </x:xf>
    <x:xf numFmtId="0" fontId="6" fillId="0" borderId="15" xfId="0" applyNumberFormat="1" applyFont="1" applyFill="1" applyBorder="1" applyAlignment="1">
      <x:alignment horizontal="center" vertical="center"/>
    </x:xf>
    <x:xf numFmtId="0" fontId="6" fillId="0" borderId="16" xfId="0" applyNumberFormat="1" applyFont="1" applyFill="1" applyBorder="1" applyAlignment="1">
      <x:alignment horizontal="center" vertical="center"/>
    </x:xf>
    <x:xf numFmtId="0" fontId="6" fillId="0" borderId="17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DCFCE7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6B7280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32b9c9242747b2" /><Relationship Type="http://schemas.openxmlformats.org/officeDocument/2006/relationships/theme" Target="/xl/theme/theme1.xml" Id="R9b42cdd95447442b" /><Relationship Type="http://schemas.openxmlformats.org/officeDocument/2006/relationships/sharedStrings" Target="/xl/sharedStrings.xml" Id="R228287038ecf4471" /><Relationship Type="http://schemas.openxmlformats.org/officeDocument/2006/relationships/worksheet" Target="/xl/worksheets/sheet1.xml" Id="Radf366dd0db74ec3" /><Relationship Type="http://schemas.openxmlformats.org/officeDocument/2006/relationships/worksheet" Target="/xl/worksheets/sheet2.xml" Id="Rddb3bc0cd9dc4fbc" /><Relationship Type="http://schemas.openxmlformats.org/officeDocument/2006/relationships/worksheet" Target="/xl/worksheets/sheet3.xml" Id="R37a4aec6abe54a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5" hidden="0" customWidth="1"/>
    <x:col min="3" max="3" width="18" hidden="0" customWidth="1"/>
    <x:col min="4" max="4" width="12" hidden="0" customWidth="1"/>
    <x:col min="5" max="5" width="14" hidden="0" customWidth="1"/>
    <x:col min="6" max="6" width="31" hidden="0" customWidth="1"/>
  </x:cols>
  <x:sheetData>
    <x:row r="1" ht="30" customHeight="1">
      <x:c r="A1" s="5" t="str">
        <x:v>Equipment Rental Inventory</x:v>
      </x:c>
      <x:c r="B1" s="5"/>
      <x:c r="C1" s="5"/>
      <x:c r="D1" s="5"/>
      <x:c r="E1" s="5"/>
      <x:c r="F1" s="5"/>
    </x:row>
    <x:row r="2">
      <x:c r="A2" s="11" t="str">
        <x:v>Add one row per rentable item type. Use a clear unique item code; Availability reads directly from this sheet.</x:v>
      </x:c>
      <x:c r="B2" s="11"/>
      <x:c r="C2" s="11"/>
      <x:c r="D2" s="11"/>
      <x:c r="E2" s="11"/>
      <x:c r="F2" s="11"/>
    </x:row>
    <x:row r="4" ht="28" customHeight="1">
      <x:c r="A4" s="18" t="str">
        <x:v>Item Code</x:v>
      </x:c>
      <x:c r="B4" s="18" t="str">
        <x:v>Item Name</x:v>
      </x:c>
      <x:c r="C4" s="18" t="str">
        <x:v>Category</x:v>
      </x:c>
      <x:c r="D4" s="18" t="str">
        <x:v>Total Qty</x:v>
      </x:c>
      <x:c r="E4" s="18" t="str">
        <x:v>Daily Rate</x:v>
      </x:c>
      <x:c r="F4" s="18" t="str">
        <x:v>Condition / Notes</x:v>
      </x:c>
    </x:row>
    <x:row r="5">
      <x:c r="A5" s="41" t="str">
        <x:v>CHAIR-FLD</x:v>
      </x:c>
      <x:c r="B5" s="42" t="str">
        <x:v>Folding Chair</x:v>
      </x:c>
      <x:c r="C5" s="42" t="str">
        <x:v>Furniture</x:v>
      </x:c>
      <x:c r="D5" s="65" t="n">
        <x:v>120</x:v>
      </x:c>
      <x:c r="E5" s="71" t="n">
        <x:v>3.5</x:v>
      </x:c>
      <x:c r="F5" s="59" t="str">
        <x:v>Good</x:v>
      </x:c>
    </x:row>
    <x:row r="6">
      <x:c r="A6" s="44" t="str">
        <x:v>TABLE-R60</x:v>
      </x:c>
      <x:c r="B6" s="45" t="str">
        <x:v>60" Round Table</x:v>
      </x:c>
      <x:c r="C6" s="45" t="str">
        <x:v>Furniture</x:v>
      </x:c>
      <x:c r="D6" s="66" t="n">
        <x:v>18</x:v>
      </x:c>
      <x:c r="E6" s="72" t="n">
        <x:v>18</x:v>
      </x:c>
      <x:c r="F6" s="60" t="str">
        <x:v>Good</x:v>
      </x:c>
    </x:row>
    <x:row r="7">
      <x:c r="A7" s="44" t="str">
        <x:v>PA-SPK12</x:v>
      </x:c>
      <x:c r="B7" s="45" t="str">
        <x:v>12" PA Speaker</x:v>
      </x:c>
      <x:c r="C7" s="45" t="str">
        <x:v>Audio</x:v>
      </x:c>
      <x:c r="D7" s="66" t="n">
        <x:v>8</x:v>
      </x:c>
      <x:c r="E7" s="72" t="n">
        <x:v>35</x:v>
      </x:c>
      <x:c r="F7" s="60" t="str">
        <x:v>Good</x:v>
      </x:c>
    </x:row>
    <x:row r="8">
      <x:c r="A8" s="44" t="str">
        <x:v>MIC-WL01</x:v>
      </x:c>
      <x:c r="B8" s="45" t="str">
        <x:v>Wireless Microphone</x:v>
      </x:c>
      <x:c r="C8" s="45" t="str">
        <x:v>Audio</x:v>
      </x:c>
      <x:c r="D8" s="66" t="n">
        <x:v>12</x:v>
      </x:c>
      <x:c r="E8" s="72" t="n">
        <x:v>15</x:v>
      </x:c>
      <x:c r="F8" s="60" t="str">
        <x:v>2 units recently serviced</x:v>
      </x:c>
    </x:row>
    <x:row r="9">
      <x:c r="A9" s="44" t="str">
        <x:v>LIGHT-UPL</x:v>
      </x:c>
      <x:c r="B9" s="45" t="str">
        <x:v>LED Uplight</x:v>
      </x:c>
      <x:c r="C9" s="45" t="str">
        <x:v>Lighting</x:v>
      </x:c>
      <x:c r="D9" s="66" t="n">
        <x:v>40</x:v>
      </x:c>
      <x:c r="E9" s="72" t="n">
        <x:v>8</x:v>
      </x:c>
      <x:c r="F9" s="60" t="str">
        <x:v>Good</x:v>
      </x:c>
    </x:row>
    <x:row r="10">
      <x:c r="A10" s="44" t="str">
        <x:v>TENT-3X3</x:v>
      </x:c>
      <x:c r="B10" s="45" t="str">
        <x:v>3 × 3 m Pop-up Tent</x:v>
      </x:c>
      <x:c r="C10" s="45" t="str">
        <x:v>Shelter</x:v>
      </x:c>
      <x:c r="D10" s="66" t="n">
        <x:v>10</x:v>
      </x:c>
      <x:c r="E10" s="72" t="n">
        <x:v>45</x:v>
      </x:c>
      <x:c r="F10" s="60" t="str">
        <x:v>Good</x:v>
      </x:c>
    </x:row>
    <x:row r="11">
      <x:c r="A11" s="44"/>
      <x:c r="B11" s="45"/>
      <x:c r="C11" s="45"/>
      <x:c r="D11" s="66"/>
      <x:c r="E11" s="72"/>
      <x:c r="F11" s="60"/>
    </x:row>
    <x:row r="12">
      <x:c r="A12" s="44"/>
      <x:c r="B12" s="45"/>
      <x:c r="C12" s="45"/>
      <x:c r="D12" s="66"/>
      <x:c r="E12" s="72"/>
      <x:c r="F12" s="60"/>
    </x:row>
    <x:row r="13">
      <x:c r="A13" s="44"/>
      <x:c r="B13" s="45"/>
      <x:c r="C13" s="45"/>
      <x:c r="D13" s="66"/>
      <x:c r="E13" s="72"/>
      <x:c r="F13" s="60"/>
    </x:row>
    <x:row r="14">
      <x:c r="A14" s="44"/>
      <x:c r="B14" s="45"/>
      <x:c r="C14" s="45"/>
      <x:c r="D14" s="66"/>
      <x:c r="E14" s="72"/>
      <x:c r="F14" s="60"/>
    </x:row>
    <x:row r="15">
      <x:c r="A15" s="44"/>
      <x:c r="B15" s="45"/>
      <x:c r="C15" s="45"/>
      <x:c r="D15" s="66"/>
      <x:c r="E15" s="72"/>
      <x:c r="F15" s="60"/>
    </x:row>
    <x:row r="16">
      <x:c r="A16" s="44"/>
      <x:c r="B16" s="45"/>
      <x:c r="C16" s="45"/>
      <x:c r="D16" s="66"/>
      <x:c r="E16" s="72"/>
      <x:c r="F16" s="60"/>
    </x:row>
    <x:row r="17">
      <x:c r="A17" s="44"/>
      <x:c r="B17" s="45"/>
      <x:c r="C17" s="45"/>
      <x:c r="D17" s="66"/>
      <x:c r="E17" s="72"/>
      <x:c r="F17" s="60"/>
    </x:row>
    <x:row r="18">
      <x:c r="A18" s="44"/>
      <x:c r="B18" s="45"/>
      <x:c r="C18" s="45"/>
      <x:c r="D18" s="66"/>
      <x:c r="E18" s="72"/>
      <x:c r="F18" s="60"/>
    </x:row>
    <x:row r="19">
      <x:c r="A19" s="44"/>
      <x:c r="B19" s="45"/>
      <x:c r="C19" s="45"/>
      <x:c r="D19" s="66"/>
      <x:c r="E19" s="72"/>
      <x:c r="F19" s="60"/>
    </x:row>
    <x:row r="20">
      <x:c r="A20" s="44"/>
      <x:c r="B20" s="45"/>
      <x:c r="C20" s="45"/>
      <x:c r="D20" s="66"/>
      <x:c r="E20" s="72"/>
      <x:c r="F20" s="60"/>
    </x:row>
    <x:row r="21">
      <x:c r="A21" s="44"/>
      <x:c r="B21" s="45"/>
      <x:c r="C21" s="45"/>
      <x:c r="D21" s="66"/>
      <x:c r="E21" s="72"/>
      <x:c r="F21" s="60"/>
    </x:row>
    <x:row r="22">
      <x:c r="A22" s="44"/>
      <x:c r="B22" s="45"/>
      <x:c r="C22" s="45"/>
      <x:c r="D22" s="66"/>
      <x:c r="E22" s="72"/>
      <x:c r="F22" s="60"/>
    </x:row>
    <x:row r="23">
      <x:c r="A23" s="44"/>
      <x:c r="B23" s="45"/>
      <x:c r="C23" s="45"/>
      <x:c r="D23" s="66"/>
      <x:c r="E23" s="72"/>
      <x:c r="F23" s="60"/>
    </x:row>
    <x:row r="24">
      <x:c r="A24" s="44"/>
      <x:c r="B24" s="45"/>
      <x:c r="C24" s="45"/>
      <x:c r="D24" s="66"/>
      <x:c r="E24" s="72"/>
      <x:c r="F24" s="60"/>
    </x:row>
    <x:row r="25">
      <x:c r="A25" s="44"/>
      <x:c r="B25" s="45"/>
      <x:c r="C25" s="45"/>
      <x:c r="D25" s="66"/>
      <x:c r="E25" s="72"/>
      <x:c r="F25" s="60"/>
    </x:row>
    <x:row r="26">
      <x:c r="A26" s="44"/>
      <x:c r="B26" s="45"/>
      <x:c r="C26" s="45"/>
      <x:c r="D26" s="66"/>
      <x:c r="E26" s="72"/>
      <x:c r="F26" s="60"/>
    </x:row>
    <x:row r="27">
      <x:c r="A27" s="44"/>
      <x:c r="B27" s="45"/>
      <x:c r="C27" s="45"/>
      <x:c r="D27" s="66"/>
      <x:c r="E27" s="72"/>
      <x:c r="F27" s="60"/>
    </x:row>
    <x:row r="28">
      <x:c r="A28" s="44"/>
      <x:c r="B28" s="45"/>
      <x:c r="C28" s="45"/>
      <x:c r="D28" s="66"/>
      <x:c r="E28" s="72"/>
      <x:c r="F28" s="60"/>
    </x:row>
    <x:row r="29">
      <x:c r="A29" s="44"/>
      <x:c r="B29" s="45"/>
      <x:c r="C29" s="45"/>
      <x:c r="D29" s="66"/>
      <x:c r="E29" s="72"/>
      <x:c r="F29" s="60"/>
    </x:row>
    <x:row r="30">
      <x:c r="A30" s="44"/>
      <x:c r="B30" s="45"/>
      <x:c r="C30" s="45"/>
      <x:c r="D30" s="66"/>
      <x:c r="E30" s="72"/>
      <x:c r="F30" s="60"/>
    </x:row>
    <x:row r="31">
      <x:c r="A31" s="44"/>
      <x:c r="B31" s="45"/>
      <x:c r="C31" s="45"/>
      <x:c r="D31" s="66"/>
      <x:c r="E31" s="72"/>
      <x:c r="F31" s="60"/>
    </x:row>
    <x:row r="32">
      <x:c r="A32" s="44"/>
      <x:c r="B32" s="45"/>
      <x:c r="C32" s="45"/>
      <x:c r="D32" s="66"/>
      <x:c r="E32" s="72"/>
      <x:c r="F32" s="60"/>
    </x:row>
    <x:row r="33">
      <x:c r="A33" s="44"/>
      <x:c r="B33" s="45"/>
      <x:c r="C33" s="45"/>
      <x:c r="D33" s="66"/>
      <x:c r="E33" s="72"/>
      <x:c r="F33" s="60"/>
    </x:row>
    <x:row r="34">
      <x:c r="A34" s="44"/>
      <x:c r="B34" s="45"/>
      <x:c r="C34" s="45"/>
      <x:c r="D34" s="66"/>
      <x:c r="E34" s="72"/>
      <x:c r="F34" s="60"/>
    </x:row>
    <x:row r="35">
      <x:c r="A35" s="44"/>
      <x:c r="B35" s="45"/>
      <x:c r="C35" s="45"/>
      <x:c r="D35" s="66"/>
      <x:c r="E35" s="72"/>
      <x:c r="F35" s="60"/>
    </x:row>
    <x:row r="36">
      <x:c r="A36" s="44"/>
      <x:c r="B36" s="45"/>
      <x:c r="C36" s="45"/>
      <x:c r="D36" s="66"/>
      <x:c r="E36" s="72"/>
      <x:c r="F36" s="60"/>
    </x:row>
    <x:row r="37">
      <x:c r="A37" s="44"/>
      <x:c r="B37" s="45"/>
      <x:c r="C37" s="45"/>
      <x:c r="D37" s="66"/>
      <x:c r="E37" s="72"/>
      <x:c r="F37" s="60"/>
    </x:row>
    <x:row r="38">
      <x:c r="A38" s="44"/>
      <x:c r="B38" s="45"/>
      <x:c r="C38" s="45"/>
      <x:c r="D38" s="66"/>
      <x:c r="E38" s="72"/>
      <x:c r="F38" s="60"/>
    </x:row>
    <x:row r="39">
      <x:c r="A39" s="44"/>
      <x:c r="B39" s="45"/>
      <x:c r="C39" s="45"/>
      <x:c r="D39" s="66"/>
      <x:c r="E39" s="72"/>
      <x:c r="F39" s="60"/>
    </x:row>
    <x:row r="40">
      <x:c r="A40" s="44"/>
      <x:c r="B40" s="45"/>
      <x:c r="C40" s="45"/>
      <x:c r="D40" s="66"/>
      <x:c r="E40" s="72"/>
      <x:c r="F40" s="60"/>
    </x:row>
    <x:row r="41">
      <x:c r="A41" s="44"/>
      <x:c r="B41" s="45"/>
      <x:c r="C41" s="45"/>
      <x:c r="D41" s="66"/>
      <x:c r="E41" s="72"/>
      <x:c r="F41" s="60"/>
    </x:row>
    <x:row r="42">
      <x:c r="A42" s="44"/>
      <x:c r="B42" s="45"/>
      <x:c r="C42" s="45"/>
      <x:c r="D42" s="66"/>
      <x:c r="E42" s="72"/>
      <x:c r="F42" s="60"/>
    </x:row>
    <x:row r="43">
      <x:c r="A43" s="44"/>
      <x:c r="B43" s="45"/>
      <x:c r="C43" s="45"/>
      <x:c r="D43" s="66"/>
      <x:c r="E43" s="72"/>
      <x:c r="F43" s="60"/>
    </x:row>
    <x:row r="44">
      <x:c r="A44" s="44"/>
      <x:c r="B44" s="45"/>
      <x:c r="C44" s="45"/>
      <x:c r="D44" s="66"/>
      <x:c r="E44" s="72"/>
      <x:c r="F44" s="60"/>
    </x:row>
    <x:row r="45">
      <x:c r="A45" s="44"/>
      <x:c r="B45" s="45"/>
      <x:c r="C45" s="45"/>
      <x:c r="D45" s="66"/>
      <x:c r="E45" s="72"/>
      <x:c r="F45" s="60"/>
    </x:row>
    <x:row r="46">
      <x:c r="A46" s="44"/>
      <x:c r="B46" s="45"/>
      <x:c r="C46" s="45"/>
      <x:c r="D46" s="66"/>
      <x:c r="E46" s="72"/>
      <x:c r="F46" s="60"/>
    </x:row>
    <x:row r="47">
      <x:c r="A47" s="44"/>
      <x:c r="B47" s="45"/>
      <x:c r="C47" s="45"/>
      <x:c r="D47" s="66"/>
      <x:c r="E47" s="72"/>
      <x:c r="F47" s="60"/>
    </x:row>
    <x:row r="48">
      <x:c r="A48" s="44"/>
      <x:c r="B48" s="45"/>
      <x:c r="C48" s="45"/>
      <x:c r="D48" s="66"/>
      <x:c r="E48" s="72"/>
      <x:c r="F48" s="60"/>
    </x:row>
    <x:row r="49">
      <x:c r="A49" s="44"/>
      <x:c r="B49" s="45"/>
      <x:c r="C49" s="45"/>
      <x:c r="D49" s="66"/>
      <x:c r="E49" s="72"/>
      <x:c r="F49" s="60"/>
    </x:row>
    <x:row r="50">
      <x:c r="A50" s="44"/>
      <x:c r="B50" s="45"/>
      <x:c r="C50" s="45"/>
      <x:c r="D50" s="66"/>
      <x:c r="E50" s="72"/>
      <x:c r="F50" s="60"/>
    </x:row>
    <x:row r="51">
      <x:c r="A51" s="44"/>
      <x:c r="B51" s="45"/>
      <x:c r="C51" s="45"/>
      <x:c r="D51" s="66"/>
      <x:c r="E51" s="72"/>
      <x:c r="F51" s="60"/>
    </x:row>
    <x:row r="52">
      <x:c r="A52" s="44"/>
      <x:c r="B52" s="45"/>
      <x:c r="C52" s="45"/>
      <x:c r="D52" s="66"/>
      <x:c r="E52" s="72"/>
      <x:c r="F52" s="60"/>
    </x:row>
    <x:row r="53">
      <x:c r="A53" s="44"/>
      <x:c r="B53" s="45"/>
      <x:c r="C53" s="45"/>
      <x:c r="D53" s="66"/>
      <x:c r="E53" s="72"/>
      <x:c r="F53" s="60"/>
    </x:row>
    <x:row r="54">
      <x:c r="A54" s="44"/>
      <x:c r="B54" s="45"/>
      <x:c r="C54" s="45"/>
      <x:c r="D54" s="66"/>
      <x:c r="E54" s="72"/>
      <x:c r="F54" s="60"/>
    </x:row>
    <x:row r="55">
      <x:c r="A55" s="44"/>
      <x:c r="B55" s="45"/>
      <x:c r="C55" s="45"/>
      <x:c r="D55" s="66"/>
      <x:c r="E55" s="72"/>
      <x:c r="F55" s="60"/>
    </x:row>
    <x:row r="56">
      <x:c r="A56" s="44"/>
      <x:c r="B56" s="45"/>
      <x:c r="C56" s="45"/>
      <x:c r="D56" s="66"/>
      <x:c r="E56" s="72"/>
      <x:c r="F56" s="60"/>
    </x:row>
    <x:row r="57">
      <x:c r="A57" s="44"/>
      <x:c r="B57" s="45"/>
      <x:c r="C57" s="45"/>
      <x:c r="D57" s="66"/>
      <x:c r="E57" s="72"/>
      <x:c r="F57" s="60"/>
    </x:row>
    <x:row r="58">
      <x:c r="A58" s="44"/>
      <x:c r="B58" s="45"/>
      <x:c r="C58" s="45"/>
      <x:c r="D58" s="66"/>
      <x:c r="E58" s="72"/>
      <x:c r="F58" s="60"/>
    </x:row>
    <x:row r="59">
      <x:c r="A59" s="44"/>
      <x:c r="B59" s="45"/>
      <x:c r="C59" s="45"/>
      <x:c r="D59" s="66"/>
      <x:c r="E59" s="72"/>
      <x:c r="F59" s="60"/>
    </x:row>
    <x:row r="60">
      <x:c r="A60" s="44"/>
      <x:c r="B60" s="45"/>
      <x:c r="C60" s="45"/>
      <x:c r="D60" s="66"/>
      <x:c r="E60" s="72"/>
      <x:c r="F60" s="60"/>
    </x:row>
    <x:row r="61">
      <x:c r="A61" s="44"/>
      <x:c r="B61" s="45"/>
      <x:c r="C61" s="45"/>
      <x:c r="D61" s="66"/>
      <x:c r="E61" s="72"/>
      <x:c r="F61" s="60"/>
    </x:row>
    <x:row r="62">
      <x:c r="A62" s="44"/>
      <x:c r="B62" s="45"/>
      <x:c r="C62" s="45"/>
      <x:c r="D62" s="66"/>
      <x:c r="E62" s="72"/>
      <x:c r="F62" s="60"/>
    </x:row>
    <x:row r="63">
      <x:c r="A63" s="44"/>
      <x:c r="B63" s="45"/>
      <x:c r="C63" s="45"/>
      <x:c r="D63" s="66"/>
      <x:c r="E63" s="72"/>
      <x:c r="F63" s="60"/>
    </x:row>
    <x:row r="64">
      <x:c r="A64" s="44"/>
      <x:c r="B64" s="45"/>
      <x:c r="C64" s="45"/>
      <x:c r="D64" s="66"/>
      <x:c r="E64" s="72"/>
      <x:c r="F64" s="60"/>
    </x:row>
    <x:row r="65">
      <x:c r="A65" s="44"/>
      <x:c r="B65" s="45"/>
      <x:c r="C65" s="45"/>
      <x:c r="D65" s="66"/>
      <x:c r="E65" s="72"/>
      <x:c r="F65" s="60"/>
    </x:row>
    <x:row r="66">
      <x:c r="A66" s="44"/>
      <x:c r="B66" s="45"/>
      <x:c r="C66" s="45"/>
      <x:c r="D66" s="66"/>
      <x:c r="E66" s="72"/>
      <x:c r="F66" s="60"/>
    </x:row>
    <x:row r="67">
      <x:c r="A67" s="44"/>
      <x:c r="B67" s="45"/>
      <x:c r="C67" s="45"/>
      <x:c r="D67" s="66"/>
      <x:c r="E67" s="72"/>
      <x:c r="F67" s="60"/>
    </x:row>
    <x:row r="68">
      <x:c r="A68" s="44"/>
      <x:c r="B68" s="45"/>
      <x:c r="C68" s="45"/>
      <x:c r="D68" s="66"/>
      <x:c r="E68" s="72"/>
      <x:c r="F68" s="60"/>
    </x:row>
    <x:row r="69">
      <x:c r="A69" s="44"/>
      <x:c r="B69" s="45"/>
      <x:c r="C69" s="45"/>
      <x:c r="D69" s="66"/>
      <x:c r="E69" s="72"/>
      <x:c r="F69" s="60"/>
    </x:row>
    <x:row r="70">
      <x:c r="A70" s="44"/>
      <x:c r="B70" s="45"/>
      <x:c r="C70" s="45"/>
      <x:c r="D70" s="66"/>
      <x:c r="E70" s="72"/>
      <x:c r="F70" s="60"/>
    </x:row>
    <x:row r="71">
      <x:c r="A71" s="44"/>
      <x:c r="B71" s="45"/>
      <x:c r="C71" s="45"/>
      <x:c r="D71" s="66"/>
      <x:c r="E71" s="72"/>
      <x:c r="F71" s="60"/>
    </x:row>
    <x:row r="72">
      <x:c r="A72" s="44"/>
      <x:c r="B72" s="45"/>
      <x:c r="C72" s="45"/>
      <x:c r="D72" s="66"/>
      <x:c r="E72" s="72"/>
      <x:c r="F72" s="60"/>
    </x:row>
    <x:row r="73">
      <x:c r="A73" s="44"/>
      <x:c r="B73" s="45"/>
      <x:c r="C73" s="45"/>
      <x:c r="D73" s="66"/>
      <x:c r="E73" s="72"/>
      <x:c r="F73" s="60"/>
    </x:row>
    <x:row r="74">
      <x:c r="A74" s="44"/>
      <x:c r="B74" s="45"/>
      <x:c r="C74" s="45"/>
      <x:c r="D74" s="66"/>
      <x:c r="E74" s="72"/>
      <x:c r="F74" s="60"/>
    </x:row>
    <x:row r="75">
      <x:c r="A75" s="44"/>
      <x:c r="B75" s="45"/>
      <x:c r="C75" s="45"/>
      <x:c r="D75" s="66"/>
      <x:c r="E75" s="72"/>
      <x:c r="F75" s="60"/>
    </x:row>
    <x:row r="76">
      <x:c r="A76" s="44"/>
      <x:c r="B76" s="45"/>
      <x:c r="C76" s="45"/>
      <x:c r="D76" s="66"/>
      <x:c r="E76" s="72"/>
      <x:c r="F76" s="60"/>
    </x:row>
    <x:row r="77">
      <x:c r="A77" s="44"/>
      <x:c r="B77" s="45"/>
      <x:c r="C77" s="45"/>
      <x:c r="D77" s="66"/>
      <x:c r="E77" s="72"/>
      <x:c r="F77" s="60"/>
    </x:row>
    <x:row r="78">
      <x:c r="A78" s="44"/>
      <x:c r="B78" s="45"/>
      <x:c r="C78" s="45"/>
      <x:c r="D78" s="66"/>
      <x:c r="E78" s="72"/>
      <x:c r="F78" s="60"/>
    </x:row>
    <x:row r="79">
      <x:c r="A79" s="44"/>
      <x:c r="B79" s="45"/>
      <x:c r="C79" s="45"/>
      <x:c r="D79" s="66"/>
      <x:c r="E79" s="72"/>
      <x:c r="F79" s="60"/>
    </x:row>
    <x:row r="80">
      <x:c r="A80" s="44"/>
      <x:c r="B80" s="45"/>
      <x:c r="C80" s="45"/>
      <x:c r="D80" s="66"/>
      <x:c r="E80" s="72"/>
      <x:c r="F80" s="60"/>
    </x:row>
    <x:row r="81">
      <x:c r="A81" s="44"/>
      <x:c r="B81" s="45"/>
      <x:c r="C81" s="45"/>
      <x:c r="D81" s="66"/>
      <x:c r="E81" s="72"/>
      <x:c r="F81" s="60"/>
    </x:row>
    <x:row r="82">
      <x:c r="A82" s="44"/>
      <x:c r="B82" s="45"/>
      <x:c r="C82" s="45"/>
      <x:c r="D82" s="66"/>
      <x:c r="E82" s="72"/>
      <x:c r="F82" s="60"/>
    </x:row>
    <x:row r="83">
      <x:c r="A83" s="44"/>
      <x:c r="B83" s="45"/>
      <x:c r="C83" s="45"/>
      <x:c r="D83" s="66"/>
      <x:c r="E83" s="72"/>
      <x:c r="F83" s="60"/>
    </x:row>
    <x:row r="84">
      <x:c r="A84" s="44"/>
      <x:c r="B84" s="45"/>
      <x:c r="C84" s="45"/>
      <x:c r="D84" s="66"/>
      <x:c r="E84" s="72"/>
      <x:c r="F84" s="60"/>
    </x:row>
    <x:row r="85">
      <x:c r="A85" s="44"/>
      <x:c r="B85" s="45"/>
      <x:c r="C85" s="45"/>
      <x:c r="D85" s="66"/>
      <x:c r="E85" s="72"/>
      <x:c r="F85" s="60"/>
    </x:row>
    <x:row r="86">
      <x:c r="A86" s="44"/>
      <x:c r="B86" s="45"/>
      <x:c r="C86" s="45"/>
      <x:c r="D86" s="66"/>
      <x:c r="E86" s="72"/>
      <x:c r="F86" s="60"/>
    </x:row>
    <x:row r="87">
      <x:c r="A87" s="44"/>
      <x:c r="B87" s="45"/>
      <x:c r="C87" s="45"/>
      <x:c r="D87" s="66"/>
      <x:c r="E87" s="72"/>
      <x:c r="F87" s="60"/>
    </x:row>
    <x:row r="88">
      <x:c r="A88" s="44"/>
      <x:c r="B88" s="45"/>
      <x:c r="C88" s="45"/>
      <x:c r="D88" s="66"/>
      <x:c r="E88" s="72"/>
      <x:c r="F88" s="60"/>
    </x:row>
    <x:row r="89">
      <x:c r="A89" s="44"/>
      <x:c r="B89" s="45"/>
      <x:c r="C89" s="45"/>
      <x:c r="D89" s="66"/>
      <x:c r="E89" s="72"/>
      <x:c r="F89" s="60"/>
    </x:row>
    <x:row r="90">
      <x:c r="A90" s="44"/>
      <x:c r="B90" s="45"/>
      <x:c r="C90" s="45"/>
      <x:c r="D90" s="66"/>
      <x:c r="E90" s="72"/>
      <x:c r="F90" s="60"/>
    </x:row>
    <x:row r="91">
      <x:c r="A91" s="44"/>
      <x:c r="B91" s="45"/>
      <x:c r="C91" s="45"/>
      <x:c r="D91" s="66"/>
      <x:c r="E91" s="72"/>
      <x:c r="F91" s="60"/>
    </x:row>
    <x:row r="92">
      <x:c r="A92" s="44"/>
      <x:c r="B92" s="45"/>
      <x:c r="C92" s="45"/>
      <x:c r="D92" s="66"/>
      <x:c r="E92" s="72"/>
      <x:c r="F92" s="60"/>
    </x:row>
    <x:row r="93">
      <x:c r="A93" s="44"/>
      <x:c r="B93" s="45"/>
      <x:c r="C93" s="45"/>
      <x:c r="D93" s="66"/>
      <x:c r="E93" s="72"/>
      <x:c r="F93" s="60"/>
    </x:row>
    <x:row r="94">
      <x:c r="A94" s="44"/>
      <x:c r="B94" s="45"/>
      <x:c r="C94" s="45"/>
      <x:c r="D94" s="66"/>
      <x:c r="E94" s="72"/>
      <x:c r="F94" s="60"/>
    </x:row>
    <x:row r="95">
      <x:c r="A95" s="44"/>
      <x:c r="B95" s="45"/>
      <x:c r="C95" s="45"/>
      <x:c r="D95" s="66"/>
      <x:c r="E95" s="72"/>
      <x:c r="F95" s="60"/>
    </x:row>
    <x:row r="96">
      <x:c r="A96" s="44"/>
      <x:c r="B96" s="45"/>
      <x:c r="C96" s="45"/>
      <x:c r="D96" s="66"/>
      <x:c r="E96" s="72"/>
      <x:c r="F96" s="60"/>
    </x:row>
    <x:row r="97">
      <x:c r="A97" s="44"/>
      <x:c r="B97" s="45"/>
      <x:c r="C97" s="45"/>
      <x:c r="D97" s="66"/>
      <x:c r="E97" s="72"/>
      <x:c r="F97" s="60"/>
    </x:row>
    <x:row r="98">
      <x:c r="A98" s="44"/>
      <x:c r="B98" s="45"/>
      <x:c r="C98" s="45"/>
      <x:c r="D98" s="66"/>
      <x:c r="E98" s="72"/>
      <x:c r="F98" s="60"/>
    </x:row>
    <x:row r="99">
      <x:c r="A99" s="44"/>
      <x:c r="B99" s="45"/>
      <x:c r="C99" s="45"/>
      <x:c r="D99" s="66"/>
      <x:c r="E99" s="72"/>
      <x:c r="F99" s="60"/>
    </x:row>
    <x:row r="100">
      <x:c r="A100" s="44"/>
      <x:c r="B100" s="45"/>
      <x:c r="C100" s="45"/>
      <x:c r="D100" s="66"/>
      <x:c r="E100" s="72"/>
      <x:c r="F100" s="60"/>
    </x:row>
    <x:row r="101">
      <x:c r="A101" s="44"/>
      <x:c r="B101" s="45"/>
      <x:c r="C101" s="45"/>
      <x:c r="D101" s="66"/>
      <x:c r="E101" s="72"/>
      <x:c r="F101" s="60"/>
    </x:row>
    <x:row r="102">
      <x:c r="A102" s="44"/>
      <x:c r="B102" s="45"/>
      <x:c r="C102" s="45"/>
      <x:c r="D102" s="66"/>
      <x:c r="E102" s="72"/>
      <x:c r="F102" s="60"/>
    </x:row>
    <x:row r="103">
      <x:c r="A103" s="44"/>
      <x:c r="B103" s="45"/>
      <x:c r="C103" s="45"/>
      <x:c r="D103" s="66"/>
      <x:c r="E103" s="72"/>
      <x:c r="F103" s="60"/>
    </x:row>
    <x:row r="104">
      <x:c r="A104" s="47"/>
      <x:c r="B104" s="48"/>
      <x:c r="C104" s="48"/>
      <x:c r="D104" s="67"/>
      <x:c r="E104" s="73"/>
      <x:c r="F104" s="61"/>
    </x:row>
  </x:sheetData>
  <x:mergeCells>
    <x:mergeCell ref="A1:F1"/>
    <x:mergeCell ref="A2:F2"/>
  </x:mergeCells>
  <x:conditionalFormatting sqref="A5:A104">
    <x:cfRule type="expression" dxfId="0" priority="1">
      <x:formula>AND(A5&lt;&gt;"",COUNTIF($A$5:$A$104,A5)&gt;1)</x:formula>
    </x:cfRule>
  </x:conditionalFormatting>
  <x:dataValidations count="2">
    <x:dataValidation operator="greaterThanOrEqual" sqref="D5:D104">
      <x:formula1>0</x:formula1>
    </x:dataValidation>
    <x:dataValidation type="decimal" operator="greaterThanOrEqual" sqref="E5:E104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5" hidden="0" customWidth="1"/>
    <x:col min="4" max="4" width="8" hidden="0" customWidth="1"/>
    <x:col min="5" max="5" width="13" hidden="0" customWidth="1"/>
    <x:col min="6" max="6" width="13" hidden="0" customWidth="1"/>
    <x:col min="7" max="7" width="15" hidden="0" customWidth="1"/>
    <x:col min="8" max="8" width="12" hidden="0" customWidth="1"/>
    <x:col min="9" max="9" width="15" hidden="0" customWidth="1"/>
  </x:cols>
  <x:sheetData>
    <x:row r="1" ht="30" customHeight="1">
      <x:c r="A1" s="5" t="str">
        <x:v>Rental Bookings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1" t="str">
        <x:v>Enter each booked item as a separate line. Statuses counted as active demand: Reserved and Checked out.</x:v>
      </x:c>
      <x:c r="B2" s="11"/>
      <x:c r="C2" s="11"/>
      <x:c r="D2" s="11"/>
      <x:c r="E2" s="11"/>
      <x:c r="F2" s="11"/>
      <x:c r="G2" s="11"/>
      <x:c r="H2" s="11"/>
      <x:c r="I2" s="11"/>
    </x:row>
    <x:row r="4" ht="30" customHeight="1">
      <x:c r="A4" s="18" t="str">
        <x:v>Booking ID</x:v>
      </x:c>
      <x:c r="B4" s="18" t="str">
        <x:v>Customer</x:v>
      </x:c>
      <x:c r="C4" s="18" t="str">
        <x:v>Item Code</x:v>
      </x:c>
      <x:c r="D4" s="18" t="str">
        <x:v>Qty</x:v>
      </x:c>
      <x:c r="E4" s="18" t="str">
        <x:v>Start Date</x:v>
      </x:c>
      <x:c r="F4" s="18" t="str">
        <x:v>End Date</x:v>
      </x:c>
      <x:c r="G4" s="18" t="str">
        <x:v>Status</x:v>
      </x:c>
      <x:c r="H4" s="18" t="str">
        <x:v>Rental Days</x:v>
      </x:c>
      <x:c r="I4" s="18" t="str">
        <x:v>Booked Value</x:v>
      </x:c>
    </x:row>
    <x:row r="5">
      <x:c r="A5" s="41" t="str">
        <x:v>B-1001</x:v>
      </x:c>
      <x:c r="B5" s="42" t="str">
        <x:v>Oak &amp; Pine Events</x:v>
      </x:c>
      <x:c r="C5" s="42" t="str">
        <x:v>CHAIR-FLD</x:v>
      </x:c>
      <x:c r="D5" s="42" t="n">
        <x:v>70</x:v>
      </x:c>
      <x:c r="E5" s="77" t="n">
        <x:v>46305</x:v>
      </x:c>
      <x:c r="F5" s="77" t="n">
        <x:v>46307</x:v>
      </x:c>
      <x:c r="G5" s="42" t="str">
        <x:v>Reserved</x:v>
      </x:c>
      <x:c r="H5" s="65" t="n">
        <x:f>IF(OR(E5="",F5=""),"",MAX(1,F5-E5+1))</x:f>
        <x:v>3</x:v>
      </x:c>
      <x:c r="I5" s="83" t="n">
        <x:f>IF(OR(C5="",D5="",H5=""),"",IF(G5="Cancelled",0,IFERROR(D5*H5*VLOOKUP(C5,Inventory!$A$5:$E$104,5,FALSE),"")))</x:f>
        <x:v>735</x:v>
      </x:c>
    </x:row>
    <x:row r="6">
      <x:c r="A6" s="44" t="str">
        <x:v>B-1001</x:v>
      </x:c>
      <x:c r="B6" s="45" t="str">
        <x:v>Oak &amp; Pine Events</x:v>
      </x:c>
      <x:c r="C6" s="45" t="str">
        <x:v>TABLE-R60</x:v>
      </x:c>
      <x:c r="D6" s="45" t="n">
        <x:v>10</x:v>
      </x:c>
      <x:c r="E6" s="78" t="n">
        <x:v>46305</x:v>
      </x:c>
      <x:c r="F6" s="78" t="n">
        <x:v>46307</x:v>
      </x:c>
      <x:c r="G6" s="45" t="str">
        <x:v>Reserved</x:v>
      </x:c>
      <x:c r="H6" s="66" t="n">
        <x:f>IF(OR(E6="",F6=""),"",MAX(1,F6-E6+1))</x:f>
        <x:v>3</x:v>
      </x:c>
      <x:c r="I6" s="84" t="n">
        <x:f>IF(OR(C6="",D6="",H6=""),"",IF(G6="Cancelled",0,IFERROR(D6*H6*VLOOKUP(C6,Inventory!$A$5:$E$104,5,FALSE),"")))</x:f>
        <x:v>540</x:v>
      </x:c>
    </x:row>
    <x:row r="7">
      <x:c r="A7" s="44" t="str">
        <x:v>B-1002</x:v>
      </x:c>
      <x:c r="B7" s="45" t="str">
        <x:v>Studio North</x:v>
      </x:c>
      <x:c r="C7" s="45" t="str">
        <x:v>PA-SPK12</x:v>
      </x:c>
      <x:c r="D7" s="45" t="n">
        <x:v>6</x:v>
      </x:c>
      <x:c r="E7" s="78" t="n">
        <x:v>46306</x:v>
      </x:c>
      <x:c r="F7" s="78" t="n">
        <x:v>46306</x:v>
      </x:c>
      <x:c r="G7" s="45" t="str">
        <x:v>Reserved</x:v>
      </x:c>
      <x:c r="H7" s="66" t="n">
        <x:f>IF(OR(E7="",F7=""),"",MAX(1,F7-E7+1))</x:f>
        <x:v>1</x:v>
      </x:c>
      <x:c r="I7" s="84" t="n">
        <x:f>IF(OR(C7="",D7="",H7=""),"",IF(G7="Cancelled",0,IFERROR(D7*H7*VLOOKUP(C7,Inventory!$A$5:$E$104,5,FALSE),"")))</x:f>
        <x:v>210</x:v>
      </x:c>
    </x:row>
    <x:row r="8">
      <x:c r="A8" s="44" t="str">
        <x:v>B-1002</x:v>
      </x:c>
      <x:c r="B8" s="45" t="str">
        <x:v>Studio North</x:v>
      </x:c>
      <x:c r="C8" s="45" t="str">
        <x:v>MIC-WL01</x:v>
      </x:c>
      <x:c r="D8" s="45" t="n">
        <x:v>8</x:v>
      </x:c>
      <x:c r="E8" s="78" t="n">
        <x:v>46306</x:v>
      </x:c>
      <x:c r="F8" s="78" t="n">
        <x:v>46306</x:v>
      </x:c>
      <x:c r="G8" s="45" t="str">
        <x:v>Reserved</x:v>
      </x:c>
      <x:c r="H8" s="66" t="n">
        <x:f>IF(OR(E8="",F8=""),"",MAX(1,F8-E8+1))</x:f>
        <x:v>1</x:v>
      </x:c>
      <x:c r="I8" s="84" t="n">
        <x:f>IF(OR(C8="",D8="",H8=""),"",IF(G8="Cancelled",0,IFERROR(D8*H8*VLOOKUP(C8,Inventory!$A$5:$E$104,5,FALSE),"")))</x:f>
        <x:v>120</x:v>
      </x:c>
    </x:row>
    <x:row r="9">
      <x:c r="A9" s="44" t="str">
        <x:v>B-1003</x:v>
      </x:c>
      <x:c r="B9" s="45" t="str">
        <x:v>Blue Tent Co.</x:v>
      </x:c>
      <x:c r="C9" s="45" t="str">
        <x:v>TENT-3X3</x:v>
      </x:c>
      <x:c r="D9" s="45" t="n">
        <x:v>4</x:v>
      </x:c>
      <x:c r="E9" s="78" t="n">
        <x:v>46304</x:v>
      </x:c>
      <x:c r="F9" s="78" t="n">
        <x:v>46305</x:v>
      </x:c>
      <x:c r="G9" s="45" t="str">
        <x:v>Checked out</x:v>
      </x:c>
      <x:c r="H9" s="66" t="n">
        <x:f>IF(OR(E9="",F9=""),"",MAX(1,F9-E9+1))</x:f>
        <x:v>2</x:v>
      </x:c>
      <x:c r="I9" s="84" t="n">
        <x:f>IF(OR(C9="",D9="",H9=""),"",IF(G9="Cancelled",0,IFERROR(D9*H9*VLOOKUP(C9,Inventory!$A$5:$E$104,5,FALSE),"")))</x:f>
        <x:v>360</x:v>
      </x:c>
    </x:row>
    <x:row r="10">
      <x:c r="A10" s="44" t="str">
        <x:v>B-0998</x:v>
      </x:c>
      <x:c r="B10" s="45" t="str">
        <x:v>Green Hall</x:v>
      </x:c>
      <x:c r="C10" s="45" t="str">
        <x:v>LIGHT-UPL</x:v>
      </x:c>
      <x:c r="D10" s="45" t="n">
        <x:v>24</x:v>
      </x:c>
      <x:c r="E10" s="78" t="n">
        <x:v>46297</x:v>
      </x:c>
      <x:c r="F10" s="78" t="n">
        <x:v>46298</x:v>
      </x:c>
      <x:c r="G10" s="45" t="str">
        <x:v>Returned</x:v>
      </x:c>
      <x:c r="H10" s="66" t="n">
        <x:f>IF(OR(E10="",F10=""),"",MAX(1,F10-E10+1))</x:f>
        <x:v>2</x:v>
      </x:c>
      <x:c r="I10" s="84" t="n">
        <x:f>IF(OR(C10="",D10="",H10=""),"",IF(G10="Cancelled",0,IFERROR(D10*H10*VLOOKUP(C10,Inventory!$A$5:$E$104,5,FALSE),"")))</x:f>
        <x:v>384</x:v>
      </x:c>
    </x:row>
    <x:row r="11">
      <x:c r="A11" s="44" t="str">
        <x:v>B-1004</x:v>
      </x:c>
      <x:c r="B11" s="45" t="str">
        <x:v>City Arts</x:v>
      </x:c>
      <x:c r="C11" s="45" t="str">
        <x:v>CHAIR-FLD</x:v>
      </x:c>
      <x:c r="D11" s="45" t="n">
        <x:v>60</x:v>
      </x:c>
      <x:c r="E11" s="78" t="n">
        <x:v>46306</x:v>
      </x:c>
      <x:c r="F11" s="78" t="n">
        <x:v>46308</x:v>
      </x:c>
      <x:c r="G11" s="45" t="str">
        <x:v>Reserved</x:v>
      </x:c>
      <x:c r="H11" s="66" t="n">
        <x:f>IF(OR(E11="",F11=""),"",MAX(1,F11-E11+1))</x:f>
        <x:v>3</x:v>
      </x:c>
      <x:c r="I11" s="84" t="n">
        <x:f>IF(OR(C11="",D11="",H11=""),"",IF(G11="Cancelled",0,IFERROR(D11*H11*VLOOKUP(C11,Inventory!$A$5:$E$104,5,FALSE),"")))</x:f>
        <x:v>630</x:v>
      </x:c>
    </x:row>
    <x:row r="12">
      <x:c r="A12" s="44" t="str">
        <x:v>B-1005</x:v>
      </x:c>
      <x:c r="B12" s="45" t="str">
        <x:v>Westside Club</x:v>
      </x:c>
      <x:c r="C12" s="45" t="str">
        <x:v>PA-SPK12</x:v>
      </x:c>
      <x:c r="D12" s="45" t="n">
        <x:v>4</x:v>
      </x:c>
      <x:c r="E12" s="78" t="n">
        <x:v>46306</x:v>
      </x:c>
      <x:c r="F12" s="78" t="n">
        <x:v>46307</x:v>
      </x:c>
      <x:c r="G12" s="45" t="str">
        <x:v>Cancelled</x:v>
      </x:c>
      <x:c r="H12" s="66" t="n">
        <x:f>IF(OR(E12="",F12=""),"",MAX(1,F12-E12+1))</x:f>
        <x:v>2</x:v>
      </x:c>
      <x:c r="I12" s="84" t="n">
        <x:f>IF(OR(C12="",D12="",H12=""),"",IF(G12="Cancelled",0,IFERROR(D12*H12*VLOOKUP(C12,Inventory!$A$5:$E$104,5,FALSE),"")))</x:f>
        <x:v>0</x:v>
      </x:c>
    </x:row>
    <x:row r="13">
      <x:c r="A13" s="44"/>
      <x:c r="B13" s="45"/>
      <x:c r="C13" s="45"/>
      <x:c r="D13" s="45"/>
      <x:c r="E13" s="78"/>
      <x:c r="F13" s="78"/>
      <x:c r="G13" s="45"/>
      <x:c r="H13" s="66" t="str">
        <x:f>IF(OR(E13="",F13=""),"",MAX(1,F13-E13+1))</x:f>
      </x:c>
      <x:c r="I13" s="84" t="str">
        <x:f>IF(OR(C13="",D13="",H13=""),"",IF(G13="Cancelled",0,IFERROR(D13*H13*VLOOKUP(C13,Inventory!$A$5:$E$104,5,FALSE),"")))</x:f>
      </x:c>
    </x:row>
    <x:row r="14">
      <x:c r="A14" s="44"/>
      <x:c r="B14" s="45"/>
      <x:c r="C14" s="45"/>
      <x:c r="D14" s="45"/>
      <x:c r="E14" s="78"/>
      <x:c r="F14" s="78"/>
      <x:c r="G14" s="45"/>
      <x:c r="H14" s="66" t="str">
        <x:f>IF(OR(E14="",F14=""),"",MAX(1,F14-E14+1))</x:f>
      </x:c>
      <x:c r="I14" s="84" t="str">
        <x:f>IF(OR(C14="",D14="",H14=""),"",IF(G14="Cancelled",0,IFERROR(D14*H14*VLOOKUP(C14,Inventory!$A$5:$E$104,5,FALSE),"")))</x:f>
      </x:c>
    </x:row>
    <x:row r="15">
      <x:c r="A15" s="44"/>
      <x:c r="B15" s="45"/>
      <x:c r="C15" s="45"/>
      <x:c r="D15" s="45"/>
      <x:c r="E15" s="78"/>
      <x:c r="F15" s="78"/>
      <x:c r="G15" s="45"/>
      <x:c r="H15" s="66" t="str">
        <x:f>IF(OR(E15="",F15=""),"",MAX(1,F15-E15+1))</x:f>
      </x:c>
      <x:c r="I15" s="84" t="str">
        <x:f>IF(OR(C15="",D15="",H15=""),"",IF(G15="Cancelled",0,IFERROR(D15*H15*VLOOKUP(C15,Inventory!$A$5:$E$104,5,FALSE),"")))</x:f>
      </x:c>
    </x:row>
    <x:row r="16">
      <x:c r="A16" s="44"/>
      <x:c r="B16" s="45"/>
      <x:c r="C16" s="45"/>
      <x:c r="D16" s="45"/>
      <x:c r="E16" s="78"/>
      <x:c r="F16" s="78"/>
      <x:c r="G16" s="45"/>
      <x:c r="H16" s="66" t="str">
        <x:f>IF(OR(E16="",F16=""),"",MAX(1,F16-E16+1))</x:f>
      </x:c>
      <x:c r="I16" s="84" t="str">
        <x:f>IF(OR(C16="",D16="",H16=""),"",IF(G16="Cancelled",0,IFERROR(D16*H16*VLOOKUP(C16,Inventory!$A$5:$E$104,5,FALSE),"")))</x:f>
      </x:c>
    </x:row>
    <x:row r="17">
      <x:c r="A17" s="44"/>
      <x:c r="B17" s="45"/>
      <x:c r="C17" s="45"/>
      <x:c r="D17" s="45"/>
      <x:c r="E17" s="78"/>
      <x:c r="F17" s="78"/>
      <x:c r="G17" s="45"/>
      <x:c r="H17" s="66" t="str">
        <x:f>IF(OR(E17="",F17=""),"",MAX(1,F17-E17+1))</x:f>
      </x:c>
      <x:c r="I17" s="84" t="str">
        <x:f>IF(OR(C17="",D17="",H17=""),"",IF(G17="Cancelled",0,IFERROR(D17*H17*VLOOKUP(C17,Inventory!$A$5:$E$104,5,FALSE),"")))</x:f>
      </x:c>
    </x:row>
    <x:row r="18">
      <x:c r="A18" s="44"/>
      <x:c r="B18" s="45"/>
      <x:c r="C18" s="45"/>
      <x:c r="D18" s="45"/>
      <x:c r="E18" s="78"/>
      <x:c r="F18" s="78"/>
      <x:c r="G18" s="45"/>
      <x:c r="H18" s="66" t="str">
        <x:f>IF(OR(E18="",F18=""),"",MAX(1,F18-E18+1))</x:f>
      </x:c>
      <x:c r="I18" s="84" t="str">
        <x:f>IF(OR(C18="",D18="",H18=""),"",IF(G18="Cancelled",0,IFERROR(D18*H18*VLOOKUP(C18,Inventory!$A$5:$E$104,5,FALSE),"")))</x:f>
      </x:c>
    </x:row>
    <x:row r="19">
      <x:c r="A19" s="44"/>
      <x:c r="B19" s="45"/>
      <x:c r="C19" s="45"/>
      <x:c r="D19" s="45"/>
      <x:c r="E19" s="78"/>
      <x:c r="F19" s="78"/>
      <x:c r="G19" s="45"/>
      <x:c r="H19" s="66" t="str">
        <x:f>IF(OR(E19="",F19=""),"",MAX(1,F19-E19+1))</x:f>
      </x:c>
      <x:c r="I19" s="84" t="str">
        <x:f>IF(OR(C19="",D19="",H19=""),"",IF(G19="Cancelled",0,IFERROR(D19*H19*VLOOKUP(C19,Inventory!$A$5:$E$104,5,FALSE),"")))</x:f>
      </x:c>
    </x:row>
    <x:row r="20">
      <x:c r="A20" s="44"/>
      <x:c r="B20" s="45"/>
      <x:c r="C20" s="45"/>
      <x:c r="D20" s="45"/>
      <x:c r="E20" s="78"/>
      <x:c r="F20" s="78"/>
      <x:c r="G20" s="45"/>
      <x:c r="H20" s="66" t="str">
        <x:f>IF(OR(E20="",F20=""),"",MAX(1,F20-E20+1))</x:f>
      </x:c>
      <x:c r="I20" s="84" t="str">
        <x:f>IF(OR(C20="",D20="",H20=""),"",IF(G20="Cancelled",0,IFERROR(D20*H20*VLOOKUP(C20,Inventory!$A$5:$E$104,5,FALSE),"")))</x:f>
      </x:c>
    </x:row>
    <x:row r="21">
      <x:c r="A21" s="44"/>
      <x:c r="B21" s="45"/>
      <x:c r="C21" s="45"/>
      <x:c r="D21" s="45"/>
      <x:c r="E21" s="78"/>
      <x:c r="F21" s="78"/>
      <x:c r="G21" s="45"/>
      <x:c r="H21" s="66" t="str">
        <x:f>IF(OR(E21="",F21=""),"",MAX(1,F21-E21+1))</x:f>
      </x:c>
      <x:c r="I21" s="84" t="str">
        <x:f>IF(OR(C21="",D21="",H21=""),"",IF(G21="Cancelled",0,IFERROR(D21*H21*VLOOKUP(C21,Inventory!$A$5:$E$104,5,FALSE),"")))</x:f>
      </x:c>
    </x:row>
    <x:row r="22">
      <x:c r="A22" s="44"/>
      <x:c r="B22" s="45"/>
      <x:c r="C22" s="45"/>
      <x:c r="D22" s="45"/>
      <x:c r="E22" s="78"/>
      <x:c r="F22" s="78"/>
      <x:c r="G22" s="45"/>
      <x:c r="H22" s="66" t="str">
        <x:f>IF(OR(E22="",F22=""),"",MAX(1,F22-E22+1))</x:f>
      </x:c>
      <x:c r="I22" s="84" t="str">
        <x:f>IF(OR(C22="",D22="",H22=""),"",IF(G22="Cancelled",0,IFERROR(D22*H22*VLOOKUP(C22,Inventory!$A$5:$E$104,5,FALSE),"")))</x:f>
      </x:c>
    </x:row>
    <x:row r="23">
      <x:c r="A23" s="44"/>
      <x:c r="B23" s="45"/>
      <x:c r="C23" s="45"/>
      <x:c r="D23" s="45"/>
      <x:c r="E23" s="78"/>
      <x:c r="F23" s="78"/>
      <x:c r="G23" s="45"/>
      <x:c r="H23" s="66" t="str">
        <x:f>IF(OR(E23="",F23=""),"",MAX(1,F23-E23+1))</x:f>
      </x:c>
      <x:c r="I23" s="84" t="str">
        <x:f>IF(OR(C23="",D23="",H23=""),"",IF(G23="Cancelled",0,IFERROR(D23*H23*VLOOKUP(C23,Inventory!$A$5:$E$104,5,FALSE),"")))</x:f>
      </x:c>
    </x:row>
    <x:row r="24">
      <x:c r="A24" s="44"/>
      <x:c r="B24" s="45"/>
      <x:c r="C24" s="45"/>
      <x:c r="D24" s="45"/>
      <x:c r="E24" s="78"/>
      <x:c r="F24" s="78"/>
      <x:c r="G24" s="45"/>
      <x:c r="H24" s="66" t="str">
        <x:f>IF(OR(E24="",F24=""),"",MAX(1,F24-E24+1))</x:f>
      </x:c>
      <x:c r="I24" s="84" t="str">
        <x:f>IF(OR(C24="",D24="",H24=""),"",IF(G24="Cancelled",0,IFERROR(D24*H24*VLOOKUP(C24,Inventory!$A$5:$E$104,5,FALSE),"")))</x:f>
      </x:c>
    </x:row>
    <x:row r="25">
      <x:c r="A25" s="44"/>
      <x:c r="B25" s="45"/>
      <x:c r="C25" s="45"/>
      <x:c r="D25" s="45"/>
      <x:c r="E25" s="78"/>
      <x:c r="F25" s="78"/>
      <x:c r="G25" s="45"/>
      <x:c r="H25" s="66" t="str">
        <x:f>IF(OR(E25="",F25=""),"",MAX(1,F25-E25+1))</x:f>
      </x:c>
      <x:c r="I25" s="84" t="str">
        <x:f>IF(OR(C25="",D25="",H25=""),"",IF(G25="Cancelled",0,IFERROR(D25*H25*VLOOKUP(C25,Inventory!$A$5:$E$104,5,FALSE),"")))</x:f>
      </x:c>
    </x:row>
    <x:row r="26">
      <x:c r="A26" s="44"/>
      <x:c r="B26" s="45"/>
      <x:c r="C26" s="45"/>
      <x:c r="D26" s="45"/>
      <x:c r="E26" s="78"/>
      <x:c r="F26" s="78"/>
      <x:c r="G26" s="45"/>
      <x:c r="H26" s="66" t="str">
        <x:f>IF(OR(E26="",F26=""),"",MAX(1,F26-E26+1))</x:f>
      </x:c>
      <x:c r="I26" s="84" t="str">
        <x:f>IF(OR(C26="",D26="",H26=""),"",IF(G26="Cancelled",0,IFERROR(D26*H26*VLOOKUP(C26,Inventory!$A$5:$E$104,5,FALSE),"")))</x:f>
      </x:c>
    </x:row>
    <x:row r="27">
      <x:c r="A27" s="44"/>
      <x:c r="B27" s="45"/>
      <x:c r="C27" s="45"/>
      <x:c r="D27" s="45"/>
      <x:c r="E27" s="78"/>
      <x:c r="F27" s="78"/>
      <x:c r="G27" s="45"/>
      <x:c r="H27" s="66" t="str">
        <x:f>IF(OR(E27="",F27=""),"",MAX(1,F27-E27+1))</x:f>
      </x:c>
      <x:c r="I27" s="84" t="str">
        <x:f>IF(OR(C27="",D27="",H27=""),"",IF(G27="Cancelled",0,IFERROR(D27*H27*VLOOKUP(C27,Inventory!$A$5:$E$104,5,FALSE),"")))</x:f>
      </x:c>
    </x:row>
    <x:row r="28">
      <x:c r="A28" s="44"/>
      <x:c r="B28" s="45"/>
      <x:c r="C28" s="45"/>
      <x:c r="D28" s="45"/>
      <x:c r="E28" s="78"/>
      <x:c r="F28" s="78"/>
      <x:c r="G28" s="45"/>
      <x:c r="H28" s="66" t="str">
        <x:f>IF(OR(E28="",F28=""),"",MAX(1,F28-E28+1))</x:f>
      </x:c>
      <x:c r="I28" s="84" t="str">
        <x:f>IF(OR(C28="",D28="",H28=""),"",IF(G28="Cancelled",0,IFERROR(D28*H28*VLOOKUP(C28,Inventory!$A$5:$E$104,5,FALSE),"")))</x:f>
      </x:c>
    </x:row>
    <x:row r="29">
      <x:c r="A29" s="44"/>
      <x:c r="B29" s="45"/>
      <x:c r="C29" s="45"/>
      <x:c r="D29" s="45"/>
      <x:c r="E29" s="78"/>
      <x:c r="F29" s="78"/>
      <x:c r="G29" s="45"/>
      <x:c r="H29" s="66" t="str">
        <x:f>IF(OR(E29="",F29=""),"",MAX(1,F29-E29+1))</x:f>
      </x:c>
      <x:c r="I29" s="84" t="str">
        <x:f>IF(OR(C29="",D29="",H29=""),"",IF(G29="Cancelled",0,IFERROR(D29*H29*VLOOKUP(C29,Inventory!$A$5:$E$104,5,FALSE),"")))</x:f>
      </x:c>
    </x:row>
    <x:row r="30">
      <x:c r="A30" s="44"/>
      <x:c r="B30" s="45"/>
      <x:c r="C30" s="45"/>
      <x:c r="D30" s="45"/>
      <x:c r="E30" s="78"/>
      <x:c r="F30" s="78"/>
      <x:c r="G30" s="45"/>
      <x:c r="H30" s="66" t="str">
        <x:f>IF(OR(E30="",F30=""),"",MAX(1,F30-E30+1))</x:f>
      </x:c>
      <x:c r="I30" s="84" t="str">
        <x:f>IF(OR(C30="",D30="",H30=""),"",IF(G30="Cancelled",0,IFERROR(D30*H30*VLOOKUP(C30,Inventory!$A$5:$E$104,5,FALSE),"")))</x:f>
      </x:c>
    </x:row>
    <x:row r="31">
      <x:c r="A31" s="44"/>
      <x:c r="B31" s="45"/>
      <x:c r="C31" s="45"/>
      <x:c r="D31" s="45"/>
      <x:c r="E31" s="78"/>
      <x:c r="F31" s="78"/>
      <x:c r="G31" s="45"/>
      <x:c r="H31" s="66" t="str">
        <x:f>IF(OR(E31="",F31=""),"",MAX(1,F31-E31+1))</x:f>
      </x:c>
      <x:c r="I31" s="84" t="str">
        <x:f>IF(OR(C31="",D31="",H31=""),"",IF(G31="Cancelled",0,IFERROR(D31*H31*VLOOKUP(C31,Inventory!$A$5:$E$104,5,FALSE),"")))</x:f>
      </x:c>
    </x:row>
    <x:row r="32">
      <x:c r="A32" s="44"/>
      <x:c r="B32" s="45"/>
      <x:c r="C32" s="45"/>
      <x:c r="D32" s="45"/>
      <x:c r="E32" s="78"/>
      <x:c r="F32" s="78"/>
      <x:c r="G32" s="45"/>
      <x:c r="H32" s="66" t="str">
        <x:f>IF(OR(E32="",F32=""),"",MAX(1,F32-E32+1))</x:f>
      </x:c>
      <x:c r="I32" s="84" t="str">
        <x:f>IF(OR(C32="",D32="",H32=""),"",IF(G32="Cancelled",0,IFERROR(D32*H32*VLOOKUP(C32,Inventory!$A$5:$E$104,5,FALSE),"")))</x:f>
      </x:c>
    </x:row>
    <x:row r="33">
      <x:c r="A33" s="44"/>
      <x:c r="B33" s="45"/>
      <x:c r="C33" s="45"/>
      <x:c r="D33" s="45"/>
      <x:c r="E33" s="78"/>
      <x:c r="F33" s="78"/>
      <x:c r="G33" s="45"/>
      <x:c r="H33" s="66" t="str">
        <x:f>IF(OR(E33="",F33=""),"",MAX(1,F33-E33+1))</x:f>
      </x:c>
      <x:c r="I33" s="84" t="str">
        <x:f>IF(OR(C33="",D33="",H33=""),"",IF(G33="Cancelled",0,IFERROR(D33*H33*VLOOKUP(C33,Inventory!$A$5:$E$104,5,FALSE),"")))</x:f>
      </x:c>
    </x:row>
    <x:row r="34">
      <x:c r="A34" s="44"/>
      <x:c r="B34" s="45"/>
      <x:c r="C34" s="45"/>
      <x:c r="D34" s="45"/>
      <x:c r="E34" s="78"/>
      <x:c r="F34" s="78"/>
      <x:c r="G34" s="45"/>
      <x:c r="H34" s="66" t="str">
        <x:f>IF(OR(E34="",F34=""),"",MAX(1,F34-E34+1))</x:f>
      </x:c>
      <x:c r="I34" s="84" t="str">
        <x:f>IF(OR(C34="",D34="",H34=""),"",IF(G34="Cancelled",0,IFERROR(D34*H34*VLOOKUP(C34,Inventory!$A$5:$E$104,5,FALSE),"")))</x:f>
      </x:c>
    </x:row>
    <x:row r="35">
      <x:c r="A35" s="44"/>
      <x:c r="B35" s="45"/>
      <x:c r="C35" s="45"/>
      <x:c r="D35" s="45"/>
      <x:c r="E35" s="78"/>
      <x:c r="F35" s="78"/>
      <x:c r="G35" s="45"/>
      <x:c r="H35" s="66" t="str">
        <x:f>IF(OR(E35="",F35=""),"",MAX(1,F35-E35+1))</x:f>
      </x:c>
      <x:c r="I35" s="84" t="str">
        <x:f>IF(OR(C35="",D35="",H35=""),"",IF(G35="Cancelled",0,IFERROR(D35*H35*VLOOKUP(C35,Inventory!$A$5:$E$104,5,FALSE),"")))</x:f>
      </x:c>
    </x:row>
    <x:row r="36">
      <x:c r="A36" s="44"/>
      <x:c r="B36" s="45"/>
      <x:c r="C36" s="45"/>
      <x:c r="D36" s="45"/>
      <x:c r="E36" s="78"/>
      <x:c r="F36" s="78"/>
      <x:c r="G36" s="45"/>
      <x:c r="H36" s="66" t="str">
        <x:f>IF(OR(E36="",F36=""),"",MAX(1,F36-E36+1))</x:f>
      </x:c>
      <x:c r="I36" s="84" t="str">
        <x:f>IF(OR(C36="",D36="",H36=""),"",IF(G36="Cancelled",0,IFERROR(D36*H36*VLOOKUP(C36,Inventory!$A$5:$E$104,5,FALSE),"")))</x:f>
      </x:c>
    </x:row>
    <x:row r="37">
      <x:c r="A37" s="44"/>
      <x:c r="B37" s="45"/>
      <x:c r="C37" s="45"/>
      <x:c r="D37" s="45"/>
      <x:c r="E37" s="78"/>
      <x:c r="F37" s="78"/>
      <x:c r="G37" s="45"/>
      <x:c r="H37" s="66" t="str">
        <x:f>IF(OR(E37="",F37=""),"",MAX(1,F37-E37+1))</x:f>
      </x:c>
      <x:c r="I37" s="84" t="str">
        <x:f>IF(OR(C37="",D37="",H37=""),"",IF(G37="Cancelled",0,IFERROR(D37*H37*VLOOKUP(C37,Inventory!$A$5:$E$104,5,FALSE),"")))</x:f>
      </x:c>
    </x:row>
    <x:row r="38">
      <x:c r="A38" s="44"/>
      <x:c r="B38" s="45"/>
      <x:c r="C38" s="45"/>
      <x:c r="D38" s="45"/>
      <x:c r="E38" s="78"/>
      <x:c r="F38" s="78"/>
      <x:c r="G38" s="45"/>
      <x:c r="H38" s="66" t="str">
        <x:f>IF(OR(E38="",F38=""),"",MAX(1,F38-E38+1))</x:f>
      </x:c>
      <x:c r="I38" s="84" t="str">
        <x:f>IF(OR(C38="",D38="",H38=""),"",IF(G38="Cancelled",0,IFERROR(D38*H38*VLOOKUP(C38,Inventory!$A$5:$E$104,5,FALSE),"")))</x:f>
      </x:c>
    </x:row>
    <x:row r="39">
      <x:c r="A39" s="44"/>
      <x:c r="B39" s="45"/>
      <x:c r="C39" s="45"/>
      <x:c r="D39" s="45"/>
      <x:c r="E39" s="78"/>
      <x:c r="F39" s="78"/>
      <x:c r="G39" s="45"/>
      <x:c r="H39" s="66" t="str">
        <x:f>IF(OR(E39="",F39=""),"",MAX(1,F39-E39+1))</x:f>
      </x:c>
      <x:c r="I39" s="84" t="str">
        <x:f>IF(OR(C39="",D39="",H39=""),"",IF(G39="Cancelled",0,IFERROR(D39*H39*VLOOKUP(C39,Inventory!$A$5:$E$104,5,FALSE),"")))</x:f>
      </x:c>
    </x:row>
    <x:row r="40">
      <x:c r="A40" s="44"/>
      <x:c r="B40" s="45"/>
      <x:c r="C40" s="45"/>
      <x:c r="D40" s="45"/>
      <x:c r="E40" s="78"/>
      <x:c r="F40" s="78"/>
      <x:c r="G40" s="45"/>
      <x:c r="H40" s="66" t="str">
        <x:f>IF(OR(E40="",F40=""),"",MAX(1,F40-E40+1))</x:f>
      </x:c>
      <x:c r="I40" s="84" t="str">
        <x:f>IF(OR(C40="",D40="",H40=""),"",IF(G40="Cancelled",0,IFERROR(D40*H40*VLOOKUP(C40,Inventory!$A$5:$E$104,5,FALSE),"")))</x:f>
      </x:c>
    </x:row>
    <x:row r="41">
      <x:c r="A41" s="44"/>
      <x:c r="B41" s="45"/>
      <x:c r="C41" s="45"/>
      <x:c r="D41" s="45"/>
      <x:c r="E41" s="78"/>
      <x:c r="F41" s="78"/>
      <x:c r="G41" s="45"/>
      <x:c r="H41" s="66" t="str">
        <x:f>IF(OR(E41="",F41=""),"",MAX(1,F41-E41+1))</x:f>
      </x:c>
      <x:c r="I41" s="84" t="str">
        <x:f>IF(OR(C41="",D41="",H41=""),"",IF(G41="Cancelled",0,IFERROR(D41*H41*VLOOKUP(C41,Inventory!$A$5:$E$104,5,FALSE),"")))</x:f>
      </x:c>
    </x:row>
    <x:row r="42">
      <x:c r="A42" s="44"/>
      <x:c r="B42" s="45"/>
      <x:c r="C42" s="45"/>
      <x:c r="D42" s="45"/>
      <x:c r="E42" s="78"/>
      <x:c r="F42" s="78"/>
      <x:c r="G42" s="45"/>
      <x:c r="H42" s="66" t="str">
        <x:f>IF(OR(E42="",F42=""),"",MAX(1,F42-E42+1))</x:f>
      </x:c>
      <x:c r="I42" s="84" t="str">
        <x:f>IF(OR(C42="",D42="",H42=""),"",IF(G42="Cancelled",0,IFERROR(D42*H42*VLOOKUP(C42,Inventory!$A$5:$E$104,5,FALSE),"")))</x:f>
      </x:c>
    </x:row>
    <x:row r="43">
      <x:c r="A43" s="44"/>
      <x:c r="B43" s="45"/>
      <x:c r="C43" s="45"/>
      <x:c r="D43" s="45"/>
      <x:c r="E43" s="78"/>
      <x:c r="F43" s="78"/>
      <x:c r="G43" s="45"/>
      <x:c r="H43" s="66" t="str">
        <x:f>IF(OR(E43="",F43=""),"",MAX(1,F43-E43+1))</x:f>
      </x:c>
      <x:c r="I43" s="84" t="str">
        <x:f>IF(OR(C43="",D43="",H43=""),"",IF(G43="Cancelled",0,IFERROR(D43*H43*VLOOKUP(C43,Inventory!$A$5:$E$104,5,FALSE),"")))</x:f>
      </x:c>
    </x:row>
    <x:row r="44">
      <x:c r="A44" s="44"/>
      <x:c r="B44" s="45"/>
      <x:c r="C44" s="45"/>
      <x:c r="D44" s="45"/>
      <x:c r="E44" s="78"/>
      <x:c r="F44" s="78"/>
      <x:c r="G44" s="45"/>
      <x:c r="H44" s="66" t="str">
        <x:f>IF(OR(E44="",F44=""),"",MAX(1,F44-E44+1))</x:f>
      </x:c>
      <x:c r="I44" s="84" t="str">
        <x:f>IF(OR(C44="",D44="",H44=""),"",IF(G44="Cancelled",0,IFERROR(D44*H44*VLOOKUP(C44,Inventory!$A$5:$E$104,5,FALSE),"")))</x:f>
      </x:c>
    </x:row>
    <x:row r="45">
      <x:c r="A45" s="44"/>
      <x:c r="B45" s="45"/>
      <x:c r="C45" s="45"/>
      <x:c r="D45" s="45"/>
      <x:c r="E45" s="78"/>
      <x:c r="F45" s="78"/>
      <x:c r="G45" s="45"/>
      <x:c r="H45" s="66" t="str">
        <x:f>IF(OR(E45="",F45=""),"",MAX(1,F45-E45+1))</x:f>
      </x:c>
      <x:c r="I45" s="84" t="str">
        <x:f>IF(OR(C45="",D45="",H45=""),"",IF(G45="Cancelled",0,IFERROR(D45*H45*VLOOKUP(C45,Inventory!$A$5:$E$104,5,FALSE),"")))</x:f>
      </x:c>
    </x:row>
    <x:row r="46">
      <x:c r="A46" s="44"/>
      <x:c r="B46" s="45"/>
      <x:c r="C46" s="45"/>
      <x:c r="D46" s="45"/>
      <x:c r="E46" s="78"/>
      <x:c r="F46" s="78"/>
      <x:c r="G46" s="45"/>
      <x:c r="H46" s="66" t="str">
        <x:f>IF(OR(E46="",F46=""),"",MAX(1,F46-E46+1))</x:f>
      </x:c>
      <x:c r="I46" s="84" t="str">
        <x:f>IF(OR(C46="",D46="",H46=""),"",IF(G46="Cancelled",0,IFERROR(D46*H46*VLOOKUP(C46,Inventory!$A$5:$E$104,5,FALSE),"")))</x:f>
      </x:c>
    </x:row>
    <x:row r="47">
      <x:c r="A47" s="44"/>
      <x:c r="B47" s="45"/>
      <x:c r="C47" s="45"/>
      <x:c r="D47" s="45"/>
      <x:c r="E47" s="78"/>
      <x:c r="F47" s="78"/>
      <x:c r="G47" s="45"/>
      <x:c r="H47" s="66" t="str">
        <x:f>IF(OR(E47="",F47=""),"",MAX(1,F47-E47+1))</x:f>
      </x:c>
      <x:c r="I47" s="84" t="str">
        <x:f>IF(OR(C47="",D47="",H47=""),"",IF(G47="Cancelled",0,IFERROR(D47*H47*VLOOKUP(C47,Inventory!$A$5:$E$104,5,FALSE),"")))</x:f>
      </x:c>
    </x:row>
    <x:row r="48">
      <x:c r="A48" s="44"/>
      <x:c r="B48" s="45"/>
      <x:c r="C48" s="45"/>
      <x:c r="D48" s="45"/>
      <x:c r="E48" s="78"/>
      <x:c r="F48" s="78"/>
      <x:c r="G48" s="45"/>
      <x:c r="H48" s="66" t="str">
        <x:f>IF(OR(E48="",F48=""),"",MAX(1,F48-E48+1))</x:f>
      </x:c>
      <x:c r="I48" s="84" t="str">
        <x:f>IF(OR(C48="",D48="",H48=""),"",IF(G48="Cancelled",0,IFERROR(D48*H48*VLOOKUP(C48,Inventory!$A$5:$E$104,5,FALSE),"")))</x:f>
      </x:c>
    </x:row>
    <x:row r="49">
      <x:c r="A49" s="44"/>
      <x:c r="B49" s="45"/>
      <x:c r="C49" s="45"/>
      <x:c r="D49" s="45"/>
      <x:c r="E49" s="78"/>
      <x:c r="F49" s="78"/>
      <x:c r="G49" s="45"/>
      <x:c r="H49" s="66" t="str">
        <x:f>IF(OR(E49="",F49=""),"",MAX(1,F49-E49+1))</x:f>
      </x:c>
      <x:c r="I49" s="84" t="str">
        <x:f>IF(OR(C49="",D49="",H49=""),"",IF(G49="Cancelled",0,IFERROR(D49*H49*VLOOKUP(C49,Inventory!$A$5:$E$104,5,FALSE),"")))</x:f>
      </x:c>
    </x:row>
    <x:row r="50">
      <x:c r="A50" s="44"/>
      <x:c r="B50" s="45"/>
      <x:c r="C50" s="45"/>
      <x:c r="D50" s="45"/>
      <x:c r="E50" s="78"/>
      <x:c r="F50" s="78"/>
      <x:c r="G50" s="45"/>
      <x:c r="H50" s="66" t="str">
        <x:f>IF(OR(E50="",F50=""),"",MAX(1,F50-E50+1))</x:f>
      </x:c>
      <x:c r="I50" s="84" t="str">
        <x:f>IF(OR(C50="",D50="",H50=""),"",IF(G50="Cancelled",0,IFERROR(D50*H50*VLOOKUP(C50,Inventory!$A$5:$E$104,5,FALSE),"")))</x:f>
      </x:c>
    </x:row>
    <x:row r="51">
      <x:c r="A51" s="44"/>
      <x:c r="B51" s="45"/>
      <x:c r="C51" s="45"/>
      <x:c r="D51" s="45"/>
      <x:c r="E51" s="78"/>
      <x:c r="F51" s="78"/>
      <x:c r="G51" s="45"/>
      <x:c r="H51" s="66" t="str">
        <x:f>IF(OR(E51="",F51=""),"",MAX(1,F51-E51+1))</x:f>
      </x:c>
      <x:c r="I51" s="84" t="str">
        <x:f>IF(OR(C51="",D51="",H51=""),"",IF(G51="Cancelled",0,IFERROR(D51*H51*VLOOKUP(C51,Inventory!$A$5:$E$104,5,FALSE),"")))</x:f>
      </x:c>
    </x:row>
    <x:row r="52">
      <x:c r="A52" s="44"/>
      <x:c r="B52" s="45"/>
      <x:c r="C52" s="45"/>
      <x:c r="D52" s="45"/>
      <x:c r="E52" s="78"/>
      <x:c r="F52" s="78"/>
      <x:c r="G52" s="45"/>
      <x:c r="H52" s="66" t="str">
        <x:f>IF(OR(E52="",F52=""),"",MAX(1,F52-E52+1))</x:f>
      </x:c>
      <x:c r="I52" s="84" t="str">
        <x:f>IF(OR(C52="",D52="",H52=""),"",IF(G52="Cancelled",0,IFERROR(D52*H52*VLOOKUP(C52,Inventory!$A$5:$E$104,5,FALSE),"")))</x:f>
      </x:c>
    </x:row>
    <x:row r="53">
      <x:c r="A53" s="44"/>
      <x:c r="B53" s="45"/>
      <x:c r="C53" s="45"/>
      <x:c r="D53" s="45"/>
      <x:c r="E53" s="78"/>
      <x:c r="F53" s="78"/>
      <x:c r="G53" s="45"/>
      <x:c r="H53" s="66" t="str">
        <x:f>IF(OR(E53="",F53=""),"",MAX(1,F53-E53+1))</x:f>
      </x:c>
      <x:c r="I53" s="84" t="str">
        <x:f>IF(OR(C53="",D53="",H53=""),"",IF(G53="Cancelled",0,IFERROR(D53*H53*VLOOKUP(C53,Inventory!$A$5:$E$104,5,FALSE),"")))</x:f>
      </x:c>
    </x:row>
    <x:row r="54">
      <x:c r="A54" s="44"/>
      <x:c r="B54" s="45"/>
      <x:c r="C54" s="45"/>
      <x:c r="D54" s="45"/>
      <x:c r="E54" s="78"/>
      <x:c r="F54" s="78"/>
      <x:c r="G54" s="45"/>
      <x:c r="H54" s="66" t="str">
        <x:f>IF(OR(E54="",F54=""),"",MAX(1,F54-E54+1))</x:f>
      </x:c>
      <x:c r="I54" s="84" t="str">
        <x:f>IF(OR(C54="",D54="",H54=""),"",IF(G54="Cancelled",0,IFERROR(D54*H54*VLOOKUP(C54,Inventory!$A$5:$E$104,5,FALSE),"")))</x:f>
      </x:c>
    </x:row>
    <x:row r="55">
      <x:c r="A55" s="44"/>
      <x:c r="B55" s="45"/>
      <x:c r="C55" s="45"/>
      <x:c r="D55" s="45"/>
      <x:c r="E55" s="78"/>
      <x:c r="F55" s="78"/>
      <x:c r="G55" s="45"/>
      <x:c r="H55" s="66" t="str">
        <x:f>IF(OR(E55="",F55=""),"",MAX(1,F55-E55+1))</x:f>
      </x:c>
      <x:c r="I55" s="84" t="str">
        <x:f>IF(OR(C55="",D55="",H55=""),"",IF(G55="Cancelled",0,IFERROR(D55*H55*VLOOKUP(C55,Inventory!$A$5:$E$104,5,FALSE),"")))</x:f>
      </x:c>
    </x:row>
    <x:row r="56">
      <x:c r="A56" s="44"/>
      <x:c r="B56" s="45"/>
      <x:c r="C56" s="45"/>
      <x:c r="D56" s="45"/>
      <x:c r="E56" s="78"/>
      <x:c r="F56" s="78"/>
      <x:c r="G56" s="45"/>
      <x:c r="H56" s="66" t="str">
        <x:f>IF(OR(E56="",F56=""),"",MAX(1,F56-E56+1))</x:f>
      </x:c>
      <x:c r="I56" s="84" t="str">
        <x:f>IF(OR(C56="",D56="",H56=""),"",IF(G56="Cancelled",0,IFERROR(D56*H56*VLOOKUP(C56,Inventory!$A$5:$E$104,5,FALSE),"")))</x:f>
      </x:c>
    </x:row>
    <x:row r="57">
      <x:c r="A57" s="44"/>
      <x:c r="B57" s="45"/>
      <x:c r="C57" s="45"/>
      <x:c r="D57" s="45"/>
      <x:c r="E57" s="78"/>
      <x:c r="F57" s="78"/>
      <x:c r="G57" s="45"/>
      <x:c r="H57" s="66" t="str">
        <x:f>IF(OR(E57="",F57=""),"",MAX(1,F57-E57+1))</x:f>
      </x:c>
      <x:c r="I57" s="84" t="str">
        <x:f>IF(OR(C57="",D57="",H57=""),"",IF(G57="Cancelled",0,IFERROR(D57*H57*VLOOKUP(C57,Inventory!$A$5:$E$104,5,FALSE),"")))</x:f>
      </x:c>
    </x:row>
    <x:row r="58">
      <x:c r="A58" s="44"/>
      <x:c r="B58" s="45"/>
      <x:c r="C58" s="45"/>
      <x:c r="D58" s="45"/>
      <x:c r="E58" s="78"/>
      <x:c r="F58" s="78"/>
      <x:c r="G58" s="45"/>
      <x:c r="H58" s="66" t="str">
        <x:f>IF(OR(E58="",F58=""),"",MAX(1,F58-E58+1))</x:f>
      </x:c>
      <x:c r="I58" s="84" t="str">
        <x:f>IF(OR(C58="",D58="",H58=""),"",IF(G58="Cancelled",0,IFERROR(D58*H58*VLOOKUP(C58,Inventory!$A$5:$E$104,5,FALSE),"")))</x:f>
      </x:c>
    </x:row>
    <x:row r="59">
      <x:c r="A59" s="44"/>
      <x:c r="B59" s="45"/>
      <x:c r="C59" s="45"/>
      <x:c r="D59" s="45"/>
      <x:c r="E59" s="78"/>
      <x:c r="F59" s="78"/>
      <x:c r="G59" s="45"/>
      <x:c r="H59" s="66" t="str">
        <x:f>IF(OR(E59="",F59=""),"",MAX(1,F59-E59+1))</x:f>
      </x:c>
      <x:c r="I59" s="84" t="str">
        <x:f>IF(OR(C59="",D59="",H59=""),"",IF(G59="Cancelled",0,IFERROR(D59*H59*VLOOKUP(C59,Inventory!$A$5:$E$104,5,FALSE),"")))</x:f>
      </x:c>
    </x:row>
    <x:row r="60">
      <x:c r="A60" s="44"/>
      <x:c r="B60" s="45"/>
      <x:c r="C60" s="45"/>
      <x:c r="D60" s="45"/>
      <x:c r="E60" s="78"/>
      <x:c r="F60" s="78"/>
      <x:c r="G60" s="45"/>
      <x:c r="H60" s="66" t="str">
        <x:f>IF(OR(E60="",F60=""),"",MAX(1,F60-E60+1))</x:f>
      </x:c>
      <x:c r="I60" s="84" t="str">
        <x:f>IF(OR(C60="",D60="",H60=""),"",IF(G60="Cancelled",0,IFERROR(D60*H60*VLOOKUP(C60,Inventory!$A$5:$E$104,5,FALSE),"")))</x:f>
      </x:c>
    </x:row>
    <x:row r="61">
      <x:c r="A61" s="44"/>
      <x:c r="B61" s="45"/>
      <x:c r="C61" s="45"/>
      <x:c r="D61" s="45"/>
      <x:c r="E61" s="78"/>
      <x:c r="F61" s="78"/>
      <x:c r="G61" s="45"/>
      <x:c r="H61" s="66" t="str">
        <x:f>IF(OR(E61="",F61=""),"",MAX(1,F61-E61+1))</x:f>
      </x:c>
      <x:c r="I61" s="84" t="str">
        <x:f>IF(OR(C61="",D61="",H61=""),"",IF(G61="Cancelled",0,IFERROR(D61*H61*VLOOKUP(C61,Inventory!$A$5:$E$104,5,FALSE),"")))</x:f>
      </x:c>
    </x:row>
    <x:row r="62">
      <x:c r="A62" s="44"/>
      <x:c r="B62" s="45"/>
      <x:c r="C62" s="45"/>
      <x:c r="D62" s="45"/>
      <x:c r="E62" s="78"/>
      <x:c r="F62" s="78"/>
      <x:c r="G62" s="45"/>
      <x:c r="H62" s="66" t="str">
        <x:f>IF(OR(E62="",F62=""),"",MAX(1,F62-E62+1))</x:f>
      </x:c>
      <x:c r="I62" s="84" t="str">
        <x:f>IF(OR(C62="",D62="",H62=""),"",IF(G62="Cancelled",0,IFERROR(D62*H62*VLOOKUP(C62,Inventory!$A$5:$E$104,5,FALSE),"")))</x:f>
      </x:c>
    </x:row>
    <x:row r="63">
      <x:c r="A63" s="44"/>
      <x:c r="B63" s="45"/>
      <x:c r="C63" s="45"/>
      <x:c r="D63" s="45"/>
      <x:c r="E63" s="78"/>
      <x:c r="F63" s="78"/>
      <x:c r="G63" s="45"/>
      <x:c r="H63" s="66" t="str">
        <x:f>IF(OR(E63="",F63=""),"",MAX(1,F63-E63+1))</x:f>
      </x:c>
      <x:c r="I63" s="84" t="str">
        <x:f>IF(OR(C63="",D63="",H63=""),"",IF(G63="Cancelled",0,IFERROR(D63*H63*VLOOKUP(C63,Inventory!$A$5:$E$104,5,FALSE),"")))</x:f>
      </x:c>
    </x:row>
    <x:row r="64">
      <x:c r="A64" s="44"/>
      <x:c r="B64" s="45"/>
      <x:c r="C64" s="45"/>
      <x:c r="D64" s="45"/>
      <x:c r="E64" s="78"/>
      <x:c r="F64" s="78"/>
      <x:c r="G64" s="45"/>
      <x:c r="H64" s="66" t="str">
        <x:f>IF(OR(E64="",F64=""),"",MAX(1,F64-E64+1))</x:f>
      </x:c>
      <x:c r="I64" s="84" t="str">
        <x:f>IF(OR(C64="",D64="",H64=""),"",IF(G64="Cancelled",0,IFERROR(D64*H64*VLOOKUP(C64,Inventory!$A$5:$E$104,5,FALSE),"")))</x:f>
      </x:c>
    </x:row>
    <x:row r="65">
      <x:c r="A65" s="44"/>
      <x:c r="B65" s="45"/>
      <x:c r="C65" s="45"/>
      <x:c r="D65" s="45"/>
      <x:c r="E65" s="78"/>
      <x:c r="F65" s="78"/>
      <x:c r="G65" s="45"/>
      <x:c r="H65" s="66" t="str">
        <x:f>IF(OR(E65="",F65=""),"",MAX(1,F65-E65+1))</x:f>
      </x:c>
      <x:c r="I65" s="84" t="str">
        <x:f>IF(OR(C65="",D65="",H65=""),"",IF(G65="Cancelled",0,IFERROR(D65*H65*VLOOKUP(C65,Inventory!$A$5:$E$104,5,FALSE),"")))</x:f>
      </x:c>
    </x:row>
    <x:row r="66">
      <x:c r="A66" s="44"/>
      <x:c r="B66" s="45"/>
      <x:c r="C66" s="45"/>
      <x:c r="D66" s="45"/>
      <x:c r="E66" s="78"/>
      <x:c r="F66" s="78"/>
      <x:c r="G66" s="45"/>
      <x:c r="H66" s="66" t="str">
        <x:f>IF(OR(E66="",F66=""),"",MAX(1,F66-E66+1))</x:f>
      </x:c>
      <x:c r="I66" s="84" t="str">
        <x:f>IF(OR(C66="",D66="",H66=""),"",IF(G66="Cancelled",0,IFERROR(D66*H66*VLOOKUP(C66,Inventory!$A$5:$E$104,5,FALSE),"")))</x:f>
      </x:c>
    </x:row>
    <x:row r="67">
      <x:c r="A67" s="44"/>
      <x:c r="B67" s="45"/>
      <x:c r="C67" s="45"/>
      <x:c r="D67" s="45"/>
      <x:c r="E67" s="78"/>
      <x:c r="F67" s="78"/>
      <x:c r="G67" s="45"/>
      <x:c r="H67" s="66" t="str">
        <x:f>IF(OR(E67="",F67=""),"",MAX(1,F67-E67+1))</x:f>
      </x:c>
      <x:c r="I67" s="84" t="str">
        <x:f>IF(OR(C67="",D67="",H67=""),"",IF(G67="Cancelled",0,IFERROR(D67*H67*VLOOKUP(C67,Inventory!$A$5:$E$104,5,FALSE),"")))</x:f>
      </x:c>
    </x:row>
    <x:row r="68">
      <x:c r="A68" s="44"/>
      <x:c r="B68" s="45"/>
      <x:c r="C68" s="45"/>
      <x:c r="D68" s="45"/>
      <x:c r="E68" s="78"/>
      <x:c r="F68" s="78"/>
      <x:c r="G68" s="45"/>
      <x:c r="H68" s="66" t="str">
        <x:f>IF(OR(E68="",F68=""),"",MAX(1,F68-E68+1))</x:f>
      </x:c>
      <x:c r="I68" s="84" t="str">
        <x:f>IF(OR(C68="",D68="",H68=""),"",IF(G68="Cancelled",0,IFERROR(D68*H68*VLOOKUP(C68,Inventory!$A$5:$E$104,5,FALSE),"")))</x:f>
      </x:c>
    </x:row>
    <x:row r="69">
      <x:c r="A69" s="44"/>
      <x:c r="B69" s="45"/>
      <x:c r="C69" s="45"/>
      <x:c r="D69" s="45"/>
      <x:c r="E69" s="78"/>
      <x:c r="F69" s="78"/>
      <x:c r="G69" s="45"/>
      <x:c r="H69" s="66" t="str">
        <x:f>IF(OR(E69="",F69=""),"",MAX(1,F69-E69+1))</x:f>
      </x:c>
      <x:c r="I69" s="84" t="str">
        <x:f>IF(OR(C69="",D69="",H69=""),"",IF(G69="Cancelled",0,IFERROR(D69*H69*VLOOKUP(C69,Inventory!$A$5:$E$104,5,FALSE),"")))</x:f>
      </x:c>
    </x:row>
    <x:row r="70">
      <x:c r="A70" s="44"/>
      <x:c r="B70" s="45"/>
      <x:c r="C70" s="45"/>
      <x:c r="D70" s="45"/>
      <x:c r="E70" s="78"/>
      <x:c r="F70" s="78"/>
      <x:c r="G70" s="45"/>
      <x:c r="H70" s="66" t="str">
        <x:f>IF(OR(E70="",F70=""),"",MAX(1,F70-E70+1))</x:f>
      </x:c>
      <x:c r="I70" s="84" t="str">
        <x:f>IF(OR(C70="",D70="",H70=""),"",IF(G70="Cancelled",0,IFERROR(D70*H70*VLOOKUP(C70,Inventory!$A$5:$E$104,5,FALSE),"")))</x:f>
      </x:c>
    </x:row>
    <x:row r="71">
      <x:c r="A71" s="44"/>
      <x:c r="B71" s="45"/>
      <x:c r="C71" s="45"/>
      <x:c r="D71" s="45"/>
      <x:c r="E71" s="78"/>
      <x:c r="F71" s="78"/>
      <x:c r="G71" s="45"/>
      <x:c r="H71" s="66" t="str">
        <x:f>IF(OR(E71="",F71=""),"",MAX(1,F71-E71+1))</x:f>
      </x:c>
      <x:c r="I71" s="84" t="str">
        <x:f>IF(OR(C71="",D71="",H71=""),"",IF(G71="Cancelled",0,IFERROR(D71*H71*VLOOKUP(C71,Inventory!$A$5:$E$104,5,FALSE),"")))</x:f>
      </x:c>
    </x:row>
    <x:row r="72">
      <x:c r="A72" s="44"/>
      <x:c r="B72" s="45"/>
      <x:c r="C72" s="45"/>
      <x:c r="D72" s="45"/>
      <x:c r="E72" s="78"/>
      <x:c r="F72" s="78"/>
      <x:c r="G72" s="45"/>
      <x:c r="H72" s="66" t="str">
        <x:f>IF(OR(E72="",F72=""),"",MAX(1,F72-E72+1))</x:f>
      </x:c>
      <x:c r="I72" s="84" t="str">
        <x:f>IF(OR(C72="",D72="",H72=""),"",IF(G72="Cancelled",0,IFERROR(D72*H72*VLOOKUP(C72,Inventory!$A$5:$E$104,5,FALSE),"")))</x:f>
      </x:c>
    </x:row>
    <x:row r="73">
      <x:c r="A73" s="44"/>
      <x:c r="B73" s="45"/>
      <x:c r="C73" s="45"/>
      <x:c r="D73" s="45"/>
      <x:c r="E73" s="78"/>
      <x:c r="F73" s="78"/>
      <x:c r="G73" s="45"/>
      <x:c r="H73" s="66" t="str">
        <x:f>IF(OR(E73="",F73=""),"",MAX(1,F73-E73+1))</x:f>
      </x:c>
      <x:c r="I73" s="84" t="str">
        <x:f>IF(OR(C73="",D73="",H73=""),"",IF(G73="Cancelled",0,IFERROR(D73*H73*VLOOKUP(C73,Inventory!$A$5:$E$104,5,FALSE),"")))</x:f>
      </x:c>
    </x:row>
    <x:row r="74">
      <x:c r="A74" s="44"/>
      <x:c r="B74" s="45"/>
      <x:c r="C74" s="45"/>
      <x:c r="D74" s="45"/>
      <x:c r="E74" s="78"/>
      <x:c r="F74" s="78"/>
      <x:c r="G74" s="45"/>
      <x:c r="H74" s="66" t="str">
        <x:f>IF(OR(E74="",F74=""),"",MAX(1,F74-E74+1))</x:f>
      </x:c>
      <x:c r="I74" s="84" t="str">
        <x:f>IF(OR(C74="",D74="",H74=""),"",IF(G74="Cancelled",0,IFERROR(D74*H74*VLOOKUP(C74,Inventory!$A$5:$E$104,5,FALSE),"")))</x:f>
      </x:c>
    </x:row>
    <x:row r="75">
      <x:c r="A75" s="44"/>
      <x:c r="B75" s="45"/>
      <x:c r="C75" s="45"/>
      <x:c r="D75" s="45"/>
      <x:c r="E75" s="78"/>
      <x:c r="F75" s="78"/>
      <x:c r="G75" s="45"/>
      <x:c r="H75" s="66" t="str">
        <x:f>IF(OR(E75="",F75=""),"",MAX(1,F75-E75+1))</x:f>
      </x:c>
      <x:c r="I75" s="84" t="str">
        <x:f>IF(OR(C75="",D75="",H75=""),"",IF(G75="Cancelled",0,IFERROR(D75*H75*VLOOKUP(C75,Inventory!$A$5:$E$104,5,FALSE),"")))</x:f>
      </x:c>
    </x:row>
    <x:row r="76">
      <x:c r="A76" s="44"/>
      <x:c r="B76" s="45"/>
      <x:c r="C76" s="45"/>
      <x:c r="D76" s="45"/>
      <x:c r="E76" s="78"/>
      <x:c r="F76" s="78"/>
      <x:c r="G76" s="45"/>
      <x:c r="H76" s="66" t="str">
        <x:f>IF(OR(E76="",F76=""),"",MAX(1,F76-E76+1))</x:f>
      </x:c>
      <x:c r="I76" s="84" t="str">
        <x:f>IF(OR(C76="",D76="",H76=""),"",IF(G76="Cancelled",0,IFERROR(D76*H76*VLOOKUP(C76,Inventory!$A$5:$E$104,5,FALSE),"")))</x:f>
      </x:c>
    </x:row>
    <x:row r="77">
      <x:c r="A77" s="44"/>
      <x:c r="B77" s="45"/>
      <x:c r="C77" s="45"/>
      <x:c r="D77" s="45"/>
      <x:c r="E77" s="78"/>
      <x:c r="F77" s="78"/>
      <x:c r="G77" s="45"/>
      <x:c r="H77" s="66" t="str">
        <x:f>IF(OR(E77="",F77=""),"",MAX(1,F77-E77+1))</x:f>
      </x:c>
      <x:c r="I77" s="84" t="str">
        <x:f>IF(OR(C77="",D77="",H77=""),"",IF(G77="Cancelled",0,IFERROR(D77*H77*VLOOKUP(C77,Inventory!$A$5:$E$104,5,FALSE),"")))</x:f>
      </x:c>
    </x:row>
    <x:row r="78">
      <x:c r="A78" s="44"/>
      <x:c r="B78" s="45"/>
      <x:c r="C78" s="45"/>
      <x:c r="D78" s="45"/>
      <x:c r="E78" s="78"/>
      <x:c r="F78" s="78"/>
      <x:c r="G78" s="45"/>
      <x:c r="H78" s="66" t="str">
        <x:f>IF(OR(E78="",F78=""),"",MAX(1,F78-E78+1))</x:f>
      </x:c>
      <x:c r="I78" s="84" t="str">
        <x:f>IF(OR(C78="",D78="",H78=""),"",IF(G78="Cancelled",0,IFERROR(D78*H78*VLOOKUP(C78,Inventory!$A$5:$E$104,5,FALSE),"")))</x:f>
      </x:c>
    </x:row>
    <x:row r="79">
      <x:c r="A79" s="44"/>
      <x:c r="B79" s="45"/>
      <x:c r="C79" s="45"/>
      <x:c r="D79" s="45"/>
      <x:c r="E79" s="78"/>
      <x:c r="F79" s="78"/>
      <x:c r="G79" s="45"/>
      <x:c r="H79" s="66" t="str">
        <x:f>IF(OR(E79="",F79=""),"",MAX(1,F79-E79+1))</x:f>
      </x:c>
      <x:c r="I79" s="84" t="str">
        <x:f>IF(OR(C79="",D79="",H79=""),"",IF(G79="Cancelled",0,IFERROR(D79*H79*VLOOKUP(C79,Inventory!$A$5:$E$104,5,FALSE),"")))</x:f>
      </x:c>
    </x:row>
    <x:row r="80">
      <x:c r="A80" s="44"/>
      <x:c r="B80" s="45"/>
      <x:c r="C80" s="45"/>
      <x:c r="D80" s="45"/>
      <x:c r="E80" s="78"/>
      <x:c r="F80" s="78"/>
      <x:c r="G80" s="45"/>
      <x:c r="H80" s="66" t="str">
        <x:f>IF(OR(E80="",F80=""),"",MAX(1,F80-E80+1))</x:f>
      </x:c>
      <x:c r="I80" s="84" t="str">
        <x:f>IF(OR(C80="",D80="",H80=""),"",IF(G80="Cancelled",0,IFERROR(D80*H80*VLOOKUP(C80,Inventory!$A$5:$E$104,5,FALSE),"")))</x:f>
      </x:c>
    </x:row>
    <x:row r="81">
      <x:c r="A81" s="44"/>
      <x:c r="B81" s="45"/>
      <x:c r="C81" s="45"/>
      <x:c r="D81" s="45"/>
      <x:c r="E81" s="78"/>
      <x:c r="F81" s="78"/>
      <x:c r="G81" s="45"/>
      <x:c r="H81" s="66" t="str">
        <x:f>IF(OR(E81="",F81=""),"",MAX(1,F81-E81+1))</x:f>
      </x:c>
      <x:c r="I81" s="84" t="str">
        <x:f>IF(OR(C81="",D81="",H81=""),"",IF(G81="Cancelled",0,IFERROR(D81*H81*VLOOKUP(C81,Inventory!$A$5:$E$104,5,FALSE),"")))</x:f>
      </x:c>
    </x:row>
    <x:row r="82">
      <x:c r="A82" s="44"/>
      <x:c r="B82" s="45"/>
      <x:c r="C82" s="45"/>
      <x:c r="D82" s="45"/>
      <x:c r="E82" s="78"/>
      <x:c r="F82" s="78"/>
      <x:c r="G82" s="45"/>
      <x:c r="H82" s="66" t="str">
        <x:f>IF(OR(E82="",F82=""),"",MAX(1,F82-E82+1))</x:f>
      </x:c>
      <x:c r="I82" s="84" t="str">
        <x:f>IF(OR(C82="",D82="",H82=""),"",IF(G82="Cancelled",0,IFERROR(D82*H82*VLOOKUP(C82,Inventory!$A$5:$E$104,5,FALSE),"")))</x:f>
      </x:c>
    </x:row>
    <x:row r="83">
      <x:c r="A83" s="44"/>
      <x:c r="B83" s="45"/>
      <x:c r="C83" s="45"/>
      <x:c r="D83" s="45"/>
      <x:c r="E83" s="78"/>
      <x:c r="F83" s="78"/>
      <x:c r="G83" s="45"/>
      <x:c r="H83" s="66" t="str">
        <x:f>IF(OR(E83="",F83=""),"",MAX(1,F83-E83+1))</x:f>
      </x:c>
      <x:c r="I83" s="84" t="str">
        <x:f>IF(OR(C83="",D83="",H83=""),"",IF(G83="Cancelled",0,IFERROR(D83*H83*VLOOKUP(C83,Inventory!$A$5:$E$104,5,FALSE),"")))</x:f>
      </x:c>
    </x:row>
    <x:row r="84">
      <x:c r="A84" s="44"/>
      <x:c r="B84" s="45"/>
      <x:c r="C84" s="45"/>
      <x:c r="D84" s="45"/>
      <x:c r="E84" s="78"/>
      <x:c r="F84" s="78"/>
      <x:c r="G84" s="45"/>
      <x:c r="H84" s="66" t="str">
        <x:f>IF(OR(E84="",F84=""),"",MAX(1,F84-E84+1))</x:f>
      </x:c>
      <x:c r="I84" s="84" t="str">
        <x:f>IF(OR(C84="",D84="",H84=""),"",IF(G84="Cancelled",0,IFERROR(D84*H84*VLOOKUP(C84,Inventory!$A$5:$E$104,5,FALSE),"")))</x:f>
      </x:c>
    </x:row>
    <x:row r="85">
      <x:c r="A85" s="44"/>
      <x:c r="B85" s="45"/>
      <x:c r="C85" s="45"/>
      <x:c r="D85" s="45"/>
      <x:c r="E85" s="78"/>
      <x:c r="F85" s="78"/>
      <x:c r="G85" s="45"/>
      <x:c r="H85" s="66" t="str">
        <x:f>IF(OR(E85="",F85=""),"",MAX(1,F85-E85+1))</x:f>
      </x:c>
      <x:c r="I85" s="84" t="str">
        <x:f>IF(OR(C85="",D85="",H85=""),"",IF(G85="Cancelled",0,IFERROR(D85*H85*VLOOKUP(C85,Inventory!$A$5:$E$104,5,FALSE),"")))</x:f>
      </x:c>
    </x:row>
    <x:row r="86">
      <x:c r="A86" s="44"/>
      <x:c r="B86" s="45"/>
      <x:c r="C86" s="45"/>
      <x:c r="D86" s="45"/>
      <x:c r="E86" s="78"/>
      <x:c r="F86" s="78"/>
      <x:c r="G86" s="45"/>
      <x:c r="H86" s="66" t="str">
        <x:f>IF(OR(E86="",F86=""),"",MAX(1,F86-E86+1))</x:f>
      </x:c>
      <x:c r="I86" s="84" t="str">
        <x:f>IF(OR(C86="",D86="",H86=""),"",IF(G86="Cancelled",0,IFERROR(D86*H86*VLOOKUP(C86,Inventory!$A$5:$E$104,5,FALSE),"")))</x:f>
      </x:c>
    </x:row>
    <x:row r="87">
      <x:c r="A87" s="44"/>
      <x:c r="B87" s="45"/>
      <x:c r="C87" s="45"/>
      <x:c r="D87" s="45"/>
      <x:c r="E87" s="78"/>
      <x:c r="F87" s="78"/>
      <x:c r="G87" s="45"/>
      <x:c r="H87" s="66" t="str">
        <x:f>IF(OR(E87="",F87=""),"",MAX(1,F87-E87+1))</x:f>
      </x:c>
      <x:c r="I87" s="84" t="str">
        <x:f>IF(OR(C87="",D87="",H87=""),"",IF(G87="Cancelled",0,IFERROR(D87*H87*VLOOKUP(C87,Inventory!$A$5:$E$104,5,FALSE),"")))</x:f>
      </x:c>
    </x:row>
    <x:row r="88">
      <x:c r="A88" s="44"/>
      <x:c r="B88" s="45"/>
      <x:c r="C88" s="45"/>
      <x:c r="D88" s="45"/>
      <x:c r="E88" s="78"/>
      <x:c r="F88" s="78"/>
      <x:c r="G88" s="45"/>
      <x:c r="H88" s="66" t="str">
        <x:f>IF(OR(E88="",F88=""),"",MAX(1,F88-E88+1))</x:f>
      </x:c>
      <x:c r="I88" s="84" t="str">
        <x:f>IF(OR(C88="",D88="",H88=""),"",IF(G88="Cancelled",0,IFERROR(D88*H88*VLOOKUP(C88,Inventory!$A$5:$E$104,5,FALSE),"")))</x:f>
      </x:c>
    </x:row>
    <x:row r="89">
      <x:c r="A89" s="44"/>
      <x:c r="B89" s="45"/>
      <x:c r="C89" s="45"/>
      <x:c r="D89" s="45"/>
      <x:c r="E89" s="78"/>
      <x:c r="F89" s="78"/>
      <x:c r="G89" s="45"/>
      <x:c r="H89" s="66" t="str">
        <x:f>IF(OR(E89="",F89=""),"",MAX(1,F89-E89+1))</x:f>
      </x:c>
      <x:c r="I89" s="84" t="str">
        <x:f>IF(OR(C89="",D89="",H89=""),"",IF(G89="Cancelled",0,IFERROR(D89*H89*VLOOKUP(C89,Inventory!$A$5:$E$104,5,FALSE),"")))</x:f>
      </x:c>
    </x:row>
    <x:row r="90">
      <x:c r="A90" s="44"/>
      <x:c r="B90" s="45"/>
      <x:c r="C90" s="45"/>
      <x:c r="D90" s="45"/>
      <x:c r="E90" s="78"/>
      <x:c r="F90" s="78"/>
      <x:c r="G90" s="45"/>
      <x:c r="H90" s="66" t="str">
        <x:f>IF(OR(E90="",F90=""),"",MAX(1,F90-E90+1))</x:f>
      </x:c>
      <x:c r="I90" s="84" t="str">
        <x:f>IF(OR(C90="",D90="",H90=""),"",IF(G90="Cancelled",0,IFERROR(D90*H90*VLOOKUP(C90,Inventory!$A$5:$E$104,5,FALSE),"")))</x:f>
      </x:c>
    </x:row>
    <x:row r="91">
      <x:c r="A91" s="44"/>
      <x:c r="B91" s="45"/>
      <x:c r="C91" s="45"/>
      <x:c r="D91" s="45"/>
      <x:c r="E91" s="78"/>
      <x:c r="F91" s="78"/>
      <x:c r="G91" s="45"/>
      <x:c r="H91" s="66" t="str">
        <x:f>IF(OR(E91="",F91=""),"",MAX(1,F91-E91+1))</x:f>
      </x:c>
      <x:c r="I91" s="84" t="str">
        <x:f>IF(OR(C91="",D91="",H91=""),"",IF(G91="Cancelled",0,IFERROR(D91*H91*VLOOKUP(C91,Inventory!$A$5:$E$104,5,FALSE),"")))</x:f>
      </x:c>
    </x:row>
    <x:row r="92">
      <x:c r="A92" s="44"/>
      <x:c r="B92" s="45"/>
      <x:c r="C92" s="45"/>
      <x:c r="D92" s="45"/>
      <x:c r="E92" s="78"/>
      <x:c r="F92" s="78"/>
      <x:c r="G92" s="45"/>
      <x:c r="H92" s="66" t="str">
        <x:f>IF(OR(E92="",F92=""),"",MAX(1,F92-E92+1))</x:f>
      </x:c>
      <x:c r="I92" s="84" t="str">
        <x:f>IF(OR(C92="",D92="",H92=""),"",IF(G92="Cancelled",0,IFERROR(D92*H92*VLOOKUP(C92,Inventory!$A$5:$E$104,5,FALSE),"")))</x:f>
      </x:c>
    </x:row>
    <x:row r="93">
      <x:c r="A93" s="44"/>
      <x:c r="B93" s="45"/>
      <x:c r="C93" s="45"/>
      <x:c r="D93" s="45"/>
      <x:c r="E93" s="78"/>
      <x:c r="F93" s="78"/>
      <x:c r="G93" s="45"/>
      <x:c r="H93" s="66" t="str">
        <x:f>IF(OR(E93="",F93=""),"",MAX(1,F93-E93+1))</x:f>
      </x:c>
      <x:c r="I93" s="84" t="str">
        <x:f>IF(OR(C93="",D93="",H93=""),"",IF(G93="Cancelled",0,IFERROR(D93*H93*VLOOKUP(C93,Inventory!$A$5:$E$104,5,FALSE),"")))</x:f>
      </x:c>
    </x:row>
    <x:row r="94">
      <x:c r="A94" s="44"/>
      <x:c r="B94" s="45"/>
      <x:c r="C94" s="45"/>
      <x:c r="D94" s="45"/>
      <x:c r="E94" s="78"/>
      <x:c r="F94" s="78"/>
      <x:c r="G94" s="45"/>
      <x:c r="H94" s="66" t="str">
        <x:f>IF(OR(E94="",F94=""),"",MAX(1,F94-E94+1))</x:f>
      </x:c>
      <x:c r="I94" s="84" t="str">
        <x:f>IF(OR(C94="",D94="",H94=""),"",IF(G94="Cancelled",0,IFERROR(D94*H94*VLOOKUP(C94,Inventory!$A$5:$E$104,5,FALSE),"")))</x:f>
      </x:c>
    </x:row>
    <x:row r="95">
      <x:c r="A95" s="44"/>
      <x:c r="B95" s="45"/>
      <x:c r="C95" s="45"/>
      <x:c r="D95" s="45"/>
      <x:c r="E95" s="78"/>
      <x:c r="F95" s="78"/>
      <x:c r="G95" s="45"/>
      <x:c r="H95" s="66" t="str">
        <x:f>IF(OR(E95="",F95=""),"",MAX(1,F95-E95+1))</x:f>
      </x:c>
      <x:c r="I95" s="84" t="str">
        <x:f>IF(OR(C95="",D95="",H95=""),"",IF(G95="Cancelled",0,IFERROR(D95*H95*VLOOKUP(C95,Inventory!$A$5:$E$104,5,FALSE),"")))</x:f>
      </x:c>
    </x:row>
    <x:row r="96">
      <x:c r="A96" s="44"/>
      <x:c r="B96" s="45"/>
      <x:c r="C96" s="45"/>
      <x:c r="D96" s="45"/>
      <x:c r="E96" s="78"/>
      <x:c r="F96" s="78"/>
      <x:c r="G96" s="45"/>
      <x:c r="H96" s="66" t="str">
        <x:f>IF(OR(E96="",F96=""),"",MAX(1,F96-E96+1))</x:f>
      </x:c>
      <x:c r="I96" s="84" t="str">
        <x:f>IF(OR(C96="",D96="",H96=""),"",IF(G96="Cancelled",0,IFERROR(D96*H96*VLOOKUP(C96,Inventory!$A$5:$E$104,5,FALSE),"")))</x:f>
      </x:c>
    </x:row>
    <x:row r="97">
      <x:c r="A97" s="44"/>
      <x:c r="B97" s="45"/>
      <x:c r="C97" s="45"/>
      <x:c r="D97" s="45"/>
      <x:c r="E97" s="78"/>
      <x:c r="F97" s="78"/>
      <x:c r="G97" s="45"/>
      <x:c r="H97" s="66" t="str">
        <x:f>IF(OR(E97="",F97=""),"",MAX(1,F97-E97+1))</x:f>
      </x:c>
      <x:c r="I97" s="84" t="str">
        <x:f>IF(OR(C97="",D97="",H97=""),"",IF(G97="Cancelled",0,IFERROR(D97*H97*VLOOKUP(C97,Inventory!$A$5:$E$104,5,FALSE),"")))</x:f>
      </x:c>
    </x:row>
    <x:row r="98">
      <x:c r="A98" s="44"/>
      <x:c r="B98" s="45"/>
      <x:c r="C98" s="45"/>
      <x:c r="D98" s="45"/>
      <x:c r="E98" s="78"/>
      <x:c r="F98" s="78"/>
      <x:c r="G98" s="45"/>
      <x:c r="H98" s="66" t="str">
        <x:f>IF(OR(E98="",F98=""),"",MAX(1,F98-E98+1))</x:f>
      </x:c>
      <x:c r="I98" s="84" t="str">
        <x:f>IF(OR(C98="",D98="",H98=""),"",IF(G98="Cancelled",0,IFERROR(D98*H98*VLOOKUP(C98,Inventory!$A$5:$E$104,5,FALSE),"")))</x:f>
      </x:c>
    </x:row>
    <x:row r="99">
      <x:c r="A99" s="44"/>
      <x:c r="B99" s="45"/>
      <x:c r="C99" s="45"/>
      <x:c r="D99" s="45"/>
      <x:c r="E99" s="78"/>
      <x:c r="F99" s="78"/>
      <x:c r="G99" s="45"/>
      <x:c r="H99" s="66" t="str">
        <x:f>IF(OR(E99="",F99=""),"",MAX(1,F99-E99+1))</x:f>
      </x:c>
      <x:c r="I99" s="84" t="str">
        <x:f>IF(OR(C99="",D99="",H99=""),"",IF(G99="Cancelled",0,IFERROR(D99*H99*VLOOKUP(C99,Inventory!$A$5:$E$104,5,FALSE),"")))</x:f>
      </x:c>
    </x:row>
    <x:row r="100">
      <x:c r="A100" s="44"/>
      <x:c r="B100" s="45"/>
      <x:c r="C100" s="45"/>
      <x:c r="D100" s="45"/>
      <x:c r="E100" s="78"/>
      <x:c r="F100" s="78"/>
      <x:c r="G100" s="45"/>
      <x:c r="H100" s="66" t="str">
        <x:f>IF(OR(E100="",F100=""),"",MAX(1,F100-E100+1))</x:f>
      </x:c>
      <x:c r="I100" s="84" t="str">
        <x:f>IF(OR(C100="",D100="",H100=""),"",IF(G100="Cancelled",0,IFERROR(D100*H100*VLOOKUP(C100,Inventory!$A$5:$E$104,5,FALSE),"")))</x:f>
      </x:c>
    </x:row>
    <x:row r="101">
      <x:c r="A101" s="44"/>
      <x:c r="B101" s="45"/>
      <x:c r="C101" s="45"/>
      <x:c r="D101" s="45"/>
      <x:c r="E101" s="78"/>
      <x:c r="F101" s="78"/>
      <x:c r="G101" s="45"/>
      <x:c r="H101" s="66" t="str">
        <x:f>IF(OR(E101="",F101=""),"",MAX(1,F101-E101+1))</x:f>
      </x:c>
      <x:c r="I101" s="84" t="str">
        <x:f>IF(OR(C101="",D101="",H101=""),"",IF(G101="Cancelled",0,IFERROR(D101*H101*VLOOKUP(C101,Inventory!$A$5:$E$104,5,FALSE),"")))</x:f>
      </x:c>
    </x:row>
    <x:row r="102">
      <x:c r="A102" s="44"/>
      <x:c r="B102" s="45"/>
      <x:c r="C102" s="45"/>
      <x:c r="D102" s="45"/>
      <x:c r="E102" s="78"/>
      <x:c r="F102" s="78"/>
      <x:c r="G102" s="45"/>
      <x:c r="H102" s="66" t="str">
        <x:f>IF(OR(E102="",F102=""),"",MAX(1,F102-E102+1))</x:f>
      </x:c>
      <x:c r="I102" s="84" t="str">
        <x:f>IF(OR(C102="",D102="",H102=""),"",IF(G102="Cancelled",0,IFERROR(D102*H102*VLOOKUP(C102,Inventory!$A$5:$E$104,5,FALSE),"")))</x:f>
      </x:c>
    </x:row>
    <x:row r="103">
      <x:c r="A103" s="44"/>
      <x:c r="B103" s="45"/>
      <x:c r="C103" s="45"/>
      <x:c r="D103" s="45"/>
      <x:c r="E103" s="78"/>
      <x:c r="F103" s="78"/>
      <x:c r="G103" s="45"/>
      <x:c r="H103" s="66" t="str">
        <x:f>IF(OR(E103="",F103=""),"",MAX(1,F103-E103+1))</x:f>
      </x:c>
      <x:c r="I103" s="84" t="str">
        <x:f>IF(OR(C103="",D103="",H103=""),"",IF(G103="Cancelled",0,IFERROR(D103*H103*VLOOKUP(C103,Inventory!$A$5:$E$104,5,FALSE),"")))</x:f>
      </x:c>
    </x:row>
    <x:row r="104">
      <x:c r="A104" s="44"/>
      <x:c r="B104" s="45"/>
      <x:c r="C104" s="45"/>
      <x:c r="D104" s="45"/>
      <x:c r="E104" s="78"/>
      <x:c r="F104" s="78"/>
      <x:c r="G104" s="45"/>
      <x:c r="H104" s="66" t="str">
        <x:f>IF(OR(E104="",F104=""),"",MAX(1,F104-E104+1))</x:f>
      </x:c>
      <x:c r="I104" s="84" t="str">
        <x:f>IF(OR(C104="",D104="",H104=""),"",IF(G104="Cancelled",0,IFERROR(D104*H104*VLOOKUP(C104,Inventory!$A$5:$E$104,5,FALSE),"")))</x:f>
      </x:c>
    </x:row>
    <x:row r="105">
      <x:c r="A105" s="44"/>
      <x:c r="B105" s="45"/>
      <x:c r="C105" s="45"/>
      <x:c r="D105" s="45"/>
      <x:c r="E105" s="78"/>
      <x:c r="F105" s="78"/>
      <x:c r="G105" s="45"/>
      <x:c r="H105" s="66" t="str">
        <x:f>IF(OR(E105="",F105=""),"",MAX(1,F105-E105+1))</x:f>
      </x:c>
      <x:c r="I105" s="84" t="str">
        <x:f>IF(OR(C105="",D105="",H105=""),"",IF(G105="Cancelled",0,IFERROR(D105*H105*VLOOKUP(C105,Inventory!$A$5:$E$104,5,FALSE),"")))</x:f>
      </x:c>
    </x:row>
    <x:row r="106">
      <x:c r="A106" s="44"/>
      <x:c r="B106" s="45"/>
      <x:c r="C106" s="45"/>
      <x:c r="D106" s="45"/>
      <x:c r="E106" s="78"/>
      <x:c r="F106" s="78"/>
      <x:c r="G106" s="45"/>
      <x:c r="H106" s="66" t="str">
        <x:f>IF(OR(E106="",F106=""),"",MAX(1,F106-E106+1))</x:f>
      </x:c>
      <x:c r="I106" s="84" t="str">
        <x:f>IF(OR(C106="",D106="",H106=""),"",IF(G106="Cancelled",0,IFERROR(D106*H106*VLOOKUP(C106,Inventory!$A$5:$E$104,5,FALSE),"")))</x:f>
      </x:c>
    </x:row>
    <x:row r="107">
      <x:c r="A107" s="44"/>
      <x:c r="B107" s="45"/>
      <x:c r="C107" s="45"/>
      <x:c r="D107" s="45"/>
      <x:c r="E107" s="78"/>
      <x:c r="F107" s="78"/>
      <x:c r="G107" s="45"/>
      <x:c r="H107" s="66" t="str">
        <x:f>IF(OR(E107="",F107=""),"",MAX(1,F107-E107+1))</x:f>
      </x:c>
      <x:c r="I107" s="84" t="str">
        <x:f>IF(OR(C107="",D107="",H107=""),"",IF(G107="Cancelled",0,IFERROR(D107*H107*VLOOKUP(C107,Inventory!$A$5:$E$104,5,FALSE),"")))</x:f>
      </x:c>
    </x:row>
    <x:row r="108">
      <x:c r="A108" s="44"/>
      <x:c r="B108" s="45"/>
      <x:c r="C108" s="45"/>
      <x:c r="D108" s="45"/>
      <x:c r="E108" s="78"/>
      <x:c r="F108" s="78"/>
      <x:c r="G108" s="45"/>
      <x:c r="H108" s="66" t="str">
        <x:f>IF(OR(E108="",F108=""),"",MAX(1,F108-E108+1))</x:f>
      </x:c>
      <x:c r="I108" s="84" t="str">
        <x:f>IF(OR(C108="",D108="",H108=""),"",IF(G108="Cancelled",0,IFERROR(D108*H108*VLOOKUP(C108,Inventory!$A$5:$E$104,5,FALSE),"")))</x:f>
      </x:c>
    </x:row>
    <x:row r="109">
      <x:c r="A109" s="44"/>
      <x:c r="B109" s="45"/>
      <x:c r="C109" s="45"/>
      <x:c r="D109" s="45"/>
      <x:c r="E109" s="78"/>
      <x:c r="F109" s="78"/>
      <x:c r="G109" s="45"/>
      <x:c r="H109" s="66" t="str">
        <x:f>IF(OR(E109="",F109=""),"",MAX(1,F109-E109+1))</x:f>
      </x:c>
      <x:c r="I109" s="84" t="str">
        <x:f>IF(OR(C109="",D109="",H109=""),"",IF(G109="Cancelled",0,IFERROR(D109*H109*VLOOKUP(C109,Inventory!$A$5:$E$104,5,FALSE),"")))</x:f>
      </x:c>
    </x:row>
    <x:row r="110">
      <x:c r="A110" s="44"/>
      <x:c r="B110" s="45"/>
      <x:c r="C110" s="45"/>
      <x:c r="D110" s="45"/>
      <x:c r="E110" s="78"/>
      <x:c r="F110" s="78"/>
      <x:c r="G110" s="45"/>
      <x:c r="H110" s="66" t="str">
        <x:f>IF(OR(E110="",F110=""),"",MAX(1,F110-E110+1))</x:f>
      </x:c>
      <x:c r="I110" s="84" t="str">
        <x:f>IF(OR(C110="",D110="",H110=""),"",IF(G110="Cancelled",0,IFERROR(D110*H110*VLOOKUP(C110,Inventory!$A$5:$E$104,5,FALSE),"")))</x:f>
      </x:c>
    </x:row>
    <x:row r="111">
      <x:c r="A111" s="44"/>
      <x:c r="B111" s="45"/>
      <x:c r="C111" s="45"/>
      <x:c r="D111" s="45"/>
      <x:c r="E111" s="78"/>
      <x:c r="F111" s="78"/>
      <x:c r="G111" s="45"/>
      <x:c r="H111" s="66" t="str">
        <x:f>IF(OR(E111="",F111=""),"",MAX(1,F111-E111+1))</x:f>
      </x:c>
      <x:c r="I111" s="84" t="str">
        <x:f>IF(OR(C111="",D111="",H111=""),"",IF(G111="Cancelled",0,IFERROR(D111*H111*VLOOKUP(C111,Inventory!$A$5:$E$104,5,FALSE),"")))</x:f>
      </x:c>
    </x:row>
    <x:row r="112">
      <x:c r="A112" s="44"/>
      <x:c r="B112" s="45"/>
      <x:c r="C112" s="45"/>
      <x:c r="D112" s="45"/>
      <x:c r="E112" s="78"/>
      <x:c r="F112" s="78"/>
      <x:c r="G112" s="45"/>
      <x:c r="H112" s="66" t="str">
        <x:f>IF(OR(E112="",F112=""),"",MAX(1,F112-E112+1))</x:f>
      </x:c>
      <x:c r="I112" s="84" t="str">
        <x:f>IF(OR(C112="",D112="",H112=""),"",IF(G112="Cancelled",0,IFERROR(D112*H112*VLOOKUP(C112,Inventory!$A$5:$E$104,5,FALSE),"")))</x:f>
      </x:c>
    </x:row>
    <x:row r="113">
      <x:c r="A113" s="44"/>
      <x:c r="B113" s="45"/>
      <x:c r="C113" s="45"/>
      <x:c r="D113" s="45"/>
      <x:c r="E113" s="78"/>
      <x:c r="F113" s="78"/>
      <x:c r="G113" s="45"/>
      <x:c r="H113" s="66" t="str">
        <x:f>IF(OR(E113="",F113=""),"",MAX(1,F113-E113+1))</x:f>
      </x:c>
      <x:c r="I113" s="84" t="str">
        <x:f>IF(OR(C113="",D113="",H113=""),"",IF(G113="Cancelled",0,IFERROR(D113*H113*VLOOKUP(C113,Inventory!$A$5:$E$104,5,FALSE),"")))</x:f>
      </x:c>
    </x:row>
    <x:row r="114">
      <x:c r="A114" s="44"/>
      <x:c r="B114" s="45"/>
      <x:c r="C114" s="45"/>
      <x:c r="D114" s="45"/>
      <x:c r="E114" s="78"/>
      <x:c r="F114" s="78"/>
      <x:c r="G114" s="45"/>
      <x:c r="H114" s="66" t="str">
        <x:f>IF(OR(E114="",F114=""),"",MAX(1,F114-E114+1))</x:f>
      </x:c>
      <x:c r="I114" s="84" t="str">
        <x:f>IF(OR(C114="",D114="",H114=""),"",IF(G114="Cancelled",0,IFERROR(D114*H114*VLOOKUP(C114,Inventory!$A$5:$E$104,5,FALSE),"")))</x:f>
      </x:c>
    </x:row>
    <x:row r="115">
      <x:c r="A115" s="44"/>
      <x:c r="B115" s="45"/>
      <x:c r="C115" s="45"/>
      <x:c r="D115" s="45"/>
      <x:c r="E115" s="78"/>
      <x:c r="F115" s="78"/>
      <x:c r="G115" s="45"/>
      <x:c r="H115" s="66" t="str">
        <x:f>IF(OR(E115="",F115=""),"",MAX(1,F115-E115+1))</x:f>
      </x:c>
      <x:c r="I115" s="84" t="str">
        <x:f>IF(OR(C115="",D115="",H115=""),"",IF(G115="Cancelled",0,IFERROR(D115*H115*VLOOKUP(C115,Inventory!$A$5:$E$104,5,FALSE),"")))</x:f>
      </x:c>
    </x:row>
    <x:row r="116">
      <x:c r="A116" s="44"/>
      <x:c r="B116" s="45"/>
      <x:c r="C116" s="45"/>
      <x:c r="D116" s="45"/>
      <x:c r="E116" s="78"/>
      <x:c r="F116" s="78"/>
      <x:c r="G116" s="45"/>
      <x:c r="H116" s="66" t="str">
        <x:f>IF(OR(E116="",F116=""),"",MAX(1,F116-E116+1))</x:f>
      </x:c>
      <x:c r="I116" s="84" t="str">
        <x:f>IF(OR(C116="",D116="",H116=""),"",IF(G116="Cancelled",0,IFERROR(D116*H116*VLOOKUP(C116,Inventory!$A$5:$E$104,5,FALSE),"")))</x:f>
      </x:c>
    </x:row>
    <x:row r="117">
      <x:c r="A117" s="44"/>
      <x:c r="B117" s="45"/>
      <x:c r="C117" s="45"/>
      <x:c r="D117" s="45"/>
      <x:c r="E117" s="78"/>
      <x:c r="F117" s="78"/>
      <x:c r="G117" s="45"/>
      <x:c r="H117" s="66" t="str">
        <x:f>IF(OR(E117="",F117=""),"",MAX(1,F117-E117+1))</x:f>
      </x:c>
      <x:c r="I117" s="84" t="str">
        <x:f>IF(OR(C117="",D117="",H117=""),"",IF(G117="Cancelled",0,IFERROR(D117*H117*VLOOKUP(C117,Inventory!$A$5:$E$104,5,FALSE),"")))</x:f>
      </x:c>
    </x:row>
    <x:row r="118">
      <x:c r="A118" s="44"/>
      <x:c r="B118" s="45"/>
      <x:c r="C118" s="45"/>
      <x:c r="D118" s="45"/>
      <x:c r="E118" s="78"/>
      <x:c r="F118" s="78"/>
      <x:c r="G118" s="45"/>
      <x:c r="H118" s="66" t="str">
        <x:f>IF(OR(E118="",F118=""),"",MAX(1,F118-E118+1))</x:f>
      </x:c>
      <x:c r="I118" s="84" t="str">
        <x:f>IF(OR(C118="",D118="",H118=""),"",IF(G118="Cancelled",0,IFERROR(D118*H118*VLOOKUP(C118,Inventory!$A$5:$E$104,5,FALSE),"")))</x:f>
      </x:c>
    </x:row>
    <x:row r="119">
      <x:c r="A119" s="44"/>
      <x:c r="B119" s="45"/>
      <x:c r="C119" s="45"/>
      <x:c r="D119" s="45"/>
      <x:c r="E119" s="78"/>
      <x:c r="F119" s="78"/>
      <x:c r="G119" s="45"/>
      <x:c r="H119" s="66" t="str">
        <x:f>IF(OR(E119="",F119=""),"",MAX(1,F119-E119+1))</x:f>
      </x:c>
      <x:c r="I119" s="84" t="str">
        <x:f>IF(OR(C119="",D119="",H119=""),"",IF(G119="Cancelled",0,IFERROR(D119*H119*VLOOKUP(C119,Inventory!$A$5:$E$104,5,FALSE),"")))</x:f>
      </x:c>
    </x:row>
    <x:row r="120">
      <x:c r="A120" s="44"/>
      <x:c r="B120" s="45"/>
      <x:c r="C120" s="45"/>
      <x:c r="D120" s="45"/>
      <x:c r="E120" s="78"/>
      <x:c r="F120" s="78"/>
      <x:c r="G120" s="45"/>
      <x:c r="H120" s="66" t="str">
        <x:f>IF(OR(E120="",F120=""),"",MAX(1,F120-E120+1))</x:f>
      </x:c>
      <x:c r="I120" s="84" t="str">
        <x:f>IF(OR(C120="",D120="",H120=""),"",IF(G120="Cancelled",0,IFERROR(D120*H120*VLOOKUP(C120,Inventory!$A$5:$E$104,5,FALSE),"")))</x:f>
      </x:c>
    </x:row>
    <x:row r="121">
      <x:c r="A121" s="44"/>
      <x:c r="B121" s="45"/>
      <x:c r="C121" s="45"/>
      <x:c r="D121" s="45"/>
      <x:c r="E121" s="78"/>
      <x:c r="F121" s="78"/>
      <x:c r="G121" s="45"/>
      <x:c r="H121" s="66" t="str">
        <x:f>IF(OR(E121="",F121=""),"",MAX(1,F121-E121+1))</x:f>
      </x:c>
      <x:c r="I121" s="84" t="str">
        <x:f>IF(OR(C121="",D121="",H121=""),"",IF(G121="Cancelled",0,IFERROR(D121*H121*VLOOKUP(C121,Inventory!$A$5:$E$104,5,FALSE),"")))</x:f>
      </x:c>
    </x:row>
    <x:row r="122">
      <x:c r="A122" s="44"/>
      <x:c r="B122" s="45"/>
      <x:c r="C122" s="45"/>
      <x:c r="D122" s="45"/>
      <x:c r="E122" s="78"/>
      <x:c r="F122" s="78"/>
      <x:c r="G122" s="45"/>
      <x:c r="H122" s="66" t="str">
        <x:f>IF(OR(E122="",F122=""),"",MAX(1,F122-E122+1))</x:f>
      </x:c>
      <x:c r="I122" s="84" t="str">
        <x:f>IF(OR(C122="",D122="",H122=""),"",IF(G122="Cancelled",0,IFERROR(D122*H122*VLOOKUP(C122,Inventory!$A$5:$E$104,5,FALSE),"")))</x:f>
      </x:c>
    </x:row>
    <x:row r="123">
      <x:c r="A123" s="44"/>
      <x:c r="B123" s="45"/>
      <x:c r="C123" s="45"/>
      <x:c r="D123" s="45"/>
      <x:c r="E123" s="78"/>
      <x:c r="F123" s="78"/>
      <x:c r="G123" s="45"/>
      <x:c r="H123" s="66" t="str">
        <x:f>IF(OR(E123="",F123=""),"",MAX(1,F123-E123+1))</x:f>
      </x:c>
      <x:c r="I123" s="84" t="str">
        <x:f>IF(OR(C123="",D123="",H123=""),"",IF(G123="Cancelled",0,IFERROR(D123*H123*VLOOKUP(C123,Inventory!$A$5:$E$104,5,FALSE),"")))</x:f>
      </x:c>
    </x:row>
    <x:row r="124">
      <x:c r="A124" s="44"/>
      <x:c r="B124" s="45"/>
      <x:c r="C124" s="45"/>
      <x:c r="D124" s="45"/>
      <x:c r="E124" s="78"/>
      <x:c r="F124" s="78"/>
      <x:c r="G124" s="45"/>
      <x:c r="H124" s="66" t="str">
        <x:f>IF(OR(E124="",F124=""),"",MAX(1,F124-E124+1))</x:f>
      </x:c>
      <x:c r="I124" s="84" t="str">
        <x:f>IF(OR(C124="",D124="",H124=""),"",IF(G124="Cancelled",0,IFERROR(D124*H124*VLOOKUP(C124,Inventory!$A$5:$E$104,5,FALSE),"")))</x:f>
      </x:c>
    </x:row>
    <x:row r="125">
      <x:c r="A125" s="44"/>
      <x:c r="B125" s="45"/>
      <x:c r="C125" s="45"/>
      <x:c r="D125" s="45"/>
      <x:c r="E125" s="78"/>
      <x:c r="F125" s="78"/>
      <x:c r="G125" s="45"/>
      <x:c r="H125" s="66" t="str">
        <x:f>IF(OR(E125="",F125=""),"",MAX(1,F125-E125+1))</x:f>
      </x:c>
      <x:c r="I125" s="84" t="str">
        <x:f>IF(OR(C125="",D125="",H125=""),"",IF(G125="Cancelled",0,IFERROR(D125*H125*VLOOKUP(C125,Inventory!$A$5:$E$104,5,FALSE),"")))</x:f>
      </x:c>
    </x:row>
    <x:row r="126">
      <x:c r="A126" s="44"/>
      <x:c r="B126" s="45"/>
      <x:c r="C126" s="45"/>
      <x:c r="D126" s="45"/>
      <x:c r="E126" s="78"/>
      <x:c r="F126" s="78"/>
      <x:c r="G126" s="45"/>
      <x:c r="H126" s="66" t="str">
        <x:f>IF(OR(E126="",F126=""),"",MAX(1,F126-E126+1))</x:f>
      </x:c>
      <x:c r="I126" s="84" t="str">
        <x:f>IF(OR(C126="",D126="",H126=""),"",IF(G126="Cancelled",0,IFERROR(D126*H126*VLOOKUP(C126,Inventory!$A$5:$E$104,5,FALSE),"")))</x:f>
      </x:c>
    </x:row>
    <x:row r="127">
      <x:c r="A127" s="44"/>
      <x:c r="B127" s="45"/>
      <x:c r="C127" s="45"/>
      <x:c r="D127" s="45"/>
      <x:c r="E127" s="78"/>
      <x:c r="F127" s="78"/>
      <x:c r="G127" s="45"/>
      <x:c r="H127" s="66" t="str">
        <x:f>IF(OR(E127="",F127=""),"",MAX(1,F127-E127+1))</x:f>
      </x:c>
      <x:c r="I127" s="84" t="str">
        <x:f>IF(OR(C127="",D127="",H127=""),"",IF(G127="Cancelled",0,IFERROR(D127*H127*VLOOKUP(C127,Inventory!$A$5:$E$104,5,FALSE),"")))</x:f>
      </x:c>
    </x:row>
    <x:row r="128">
      <x:c r="A128" s="44"/>
      <x:c r="B128" s="45"/>
      <x:c r="C128" s="45"/>
      <x:c r="D128" s="45"/>
      <x:c r="E128" s="78"/>
      <x:c r="F128" s="78"/>
      <x:c r="G128" s="45"/>
      <x:c r="H128" s="66" t="str">
        <x:f>IF(OR(E128="",F128=""),"",MAX(1,F128-E128+1))</x:f>
      </x:c>
      <x:c r="I128" s="84" t="str">
        <x:f>IF(OR(C128="",D128="",H128=""),"",IF(G128="Cancelled",0,IFERROR(D128*H128*VLOOKUP(C128,Inventory!$A$5:$E$104,5,FALSE),"")))</x:f>
      </x:c>
    </x:row>
    <x:row r="129">
      <x:c r="A129" s="44"/>
      <x:c r="B129" s="45"/>
      <x:c r="C129" s="45"/>
      <x:c r="D129" s="45"/>
      <x:c r="E129" s="78"/>
      <x:c r="F129" s="78"/>
      <x:c r="G129" s="45"/>
      <x:c r="H129" s="66" t="str">
        <x:f>IF(OR(E129="",F129=""),"",MAX(1,F129-E129+1))</x:f>
      </x:c>
      <x:c r="I129" s="84" t="str">
        <x:f>IF(OR(C129="",D129="",H129=""),"",IF(G129="Cancelled",0,IFERROR(D129*H129*VLOOKUP(C129,Inventory!$A$5:$E$104,5,FALSE),"")))</x:f>
      </x:c>
    </x:row>
    <x:row r="130">
      <x:c r="A130" s="44"/>
      <x:c r="B130" s="45"/>
      <x:c r="C130" s="45"/>
      <x:c r="D130" s="45"/>
      <x:c r="E130" s="78"/>
      <x:c r="F130" s="78"/>
      <x:c r="G130" s="45"/>
      <x:c r="H130" s="66" t="str">
        <x:f>IF(OR(E130="",F130=""),"",MAX(1,F130-E130+1))</x:f>
      </x:c>
      <x:c r="I130" s="84" t="str">
        <x:f>IF(OR(C130="",D130="",H130=""),"",IF(G130="Cancelled",0,IFERROR(D130*H130*VLOOKUP(C130,Inventory!$A$5:$E$104,5,FALSE),"")))</x:f>
      </x:c>
    </x:row>
    <x:row r="131">
      <x:c r="A131" s="44"/>
      <x:c r="B131" s="45"/>
      <x:c r="C131" s="45"/>
      <x:c r="D131" s="45"/>
      <x:c r="E131" s="78"/>
      <x:c r="F131" s="78"/>
      <x:c r="G131" s="45"/>
      <x:c r="H131" s="66" t="str">
        <x:f>IF(OR(E131="",F131=""),"",MAX(1,F131-E131+1))</x:f>
      </x:c>
      <x:c r="I131" s="84" t="str">
        <x:f>IF(OR(C131="",D131="",H131=""),"",IF(G131="Cancelled",0,IFERROR(D131*H131*VLOOKUP(C131,Inventory!$A$5:$E$104,5,FALSE),"")))</x:f>
      </x:c>
    </x:row>
    <x:row r="132">
      <x:c r="A132" s="44"/>
      <x:c r="B132" s="45"/>
      <x:c r="C132" s="45"/>
      <x:c r="D132" s="45"/>
      <x:c r="E132" s="78"/>
      <x:c r="F132" s="78"/>
      <x:c r="G132" s="45"/>
      <x:c r="H132" s="66" t="str">
        <x:f>IF(OR(E132="",F132=""),"",MAX(1,F132-E132+1))</x:f>
      </x:c>
      <x:c r="I132" s="84" t="str">
        <x:f>IF(OR(C132="",D132="",H132=""),"",IF(G132="Cancelled",0,IFERROR(D132*H132*VLOOKUP(C132,Inventory!$A$5:$E$104,5,FALSE),"")))</x:f>
      </x:c>
    </x:row>
    <x:row r="133">
      <x:c r="A133" s="44"/>
      <x:c r="B133" s="45"/>
      <x:c r="C133" s="45"/>
      <x:c r="D133" s="45"/>
      <x:c r="E133" s="78"/>
      <x:c r="F133" s="78"/>
      <x:c r="G133" s="45"/>
      <x:c r="H133" s="66" t="str">
        <x:f>IF(OR(E133="",F133=""),"",MAX(1,F133-E133+1))</x:f>
      </x:c>
      <x:c r="I133" s="84" t="str">
        <x:f>IF(OR(C133="",D133="",H133=""),"",IF(G133="Cancelled",0,IFERROR(D133*H133*VLOOKUP(C133,Inventory!$A$5:$E$104,5,FALSE),"")))</x:f>
      </x:c>
    </x:row>
    <x:row r="134">
      <x:c r="A134" s="44"/>
      <x:c r="B134" s="45"/>
      <x:c r="C134" s="45"/>
      <x:c r="D134" s="45"/>
      <x:c r="E134" s="78"/>
      <x:c r="F134" s="78"/>
      <x:c r="G134" s="45"/>
      <x:c r="H134" s="66" t="str">
        <x:f>IF(OR(E134="",F134=""),"",MAX(1,F134-E134+1))</x:f>
      </x:c>
      <x:c r="I134" s="84" t="str">
        <x:f>IF(OR(C134="",D134="",H134=""),"",IF(G134="Cancelled",0,IFERROR(D134*H134*VLOOKUP(C134,Inventory!$A$5:$E$104,5,FALSE),"")))</x:f>
      </x:c>
    </x:row>
    <x:row r="135">
      <x:c r="A135" s="44"/>
      <x:c r="B135" s="45"/>
      <x:c r="C135" s="45"/>
      <x:c r="D135" s="45"/>
      <x:c r="E135" s="78"/>
      <x:c r="F135" s="78"/>
      <x:c r="G135" s="45"/>
      <x:c r="H135" s="66" t="str">
        <x:f>IF(OR(E135="",F135=""),"",MAX(1,F135-E135+1))</x:f>
      </x:c>
      <x:c r="I135" s="84" t="str">
        <x:f>IF(OR(C135="",D135="",H135=""),"",IF(G135="Cancelled",0,IFERROR(D135*H135*VLOOKUP(C135,Inventory!$A$5:$E$104,5,FALSE),"")))</x:f>
      </x:c>
    </x:row>
    <x:row r="136">
      <x:c r="A136" s="44"/>
      <x:c r="B136" s="45"/>
      <x:c r="C136" s="45"/>
      <x:c r="D136" s="45"/>
      <x:c r="E136" s="78"/>
      <x:c r="F136" s="78"/>
      <x:c r="G136" s="45"/>
      <x:c r="H136" s="66" t="str">
        <x:f>IF(OR(E136="",F136=""),"",MAX(1,F136-E136+1))</x:f>
      </x:c>
      <x:c r="I136" s="84" t="str">
        <x:f>IF(OR(C136="",D136="",H136=""),"",IF(G136="Cancelled",0,IFERROR(D136*H136*VLOOKUP(C136,Inventory!$A$5:$E$104,5,FALSE),"")))</x:f>
      </x:c>
    </x:row>
    <x:row r="137">
      <x:c r="A137" s="44"/>
      <x:c r="B137" s="45"/>
      <x:c r="C137" s="45"/>
      <x:c r="D137" s="45"/>
      <x:c r="E137" s="78"/>
      <x:c r="F137" s="78"/>
      <x:c r="G137" s="45"/>
      <x:c r="H137" s="66" t="str">
        <x:f>IF(OR(E137="",F137=""),"",MAX(1,F137-E137+1))</x:f>
      </x:c>
      <x:c r="I137" s="84" t="str">
        <x:f>IF(OR(C137="",D137="",H137=""),"",IF(G137="Cancelled",0,IFERROR(D137*H137*VLOOKUP(C137,Inventory!$A$5:$E$104,5,FALSE),"")))</x:f>
      </x:c>
    </x:row>
    <x:row r="138">
      <x:c r="A138" s="44"/>
      <x:c r="B138" s="45"/>
      <x:c r="C138" s="45"/>
      <x:c r="D138" s="45"/>
      <x:c r="E138" s="78"/>
      <x:c r="F138" s="78"/>
      <x:c r="G138" s="45"/>
      <x:c r="H138" s="66" t="str">
        <x:f>IF(OR(E138="",F138=""),"",MAX(1,F138-E138+1))</x:f>
      </x:c>
      <x:c r="I138" s="84" t="str">
        <x:f>IF(OR(C138="",D138="",H138=""),"",IF(G138="Cancelled",0,IFERROR(D138*H138*VLOOKUP(C138,Inventory!$A$5:$E$104,5,FALSE),"")))</x:f>
      </x:c>
    </x:row>
    <x:row r="139">
      <x:c r="A139" s="44"/>
      <x:c r="B139" s="45"/>
      <x:c r="C139" s="45"/>
      <x:c r="D139" s="45"/>
      <x:c r="E139" s="78"/>
      <x:c r="F139" s="78"/>
      <x:c r="G139" s="45"/>
      <x:c r="H139" s="66" t="str">
        <x:f>IF(OR(E139="",F139=""),"",MAX(1,F139-E139+1))</x:f>
      </x:c>
      <x:c r="I139" s="84" t="str">
        <x:f>IF(OR(C139="",D139="",H139=""),"",IF(G139="Cancelled",0,IFERROR(D139*H139*VLOOKUP(C139,Inventory!$A$5:$E$104,5,FALSE),"")))</x:f>
      </x:c>
    </x:row>
    <x:row r="140">
      <x:c r="A140" s="44"/>
      <x:c r="B140" s="45"/>
      <x:c r="C140" s="45"/>
      <x:c r="D140" s="45"/>
      <x:c r="E140" s="78"/>
      <x:c r="F140" s="78"/>
      <x:c r="G140" s="45"/>
      <x:c r="H140" s="66" t="str">
        <x:f>IF(OR(E140="",F140=""),"",MAX(1,F140-E140+1))</x:f>
      </x:c>
      <x:c r="I140" s="84" t="str">
        <x:f>IF(OR(C140="",D140="",H140=""),"",IF(G140="Cancelled",0,IFERROR(D140*H140*VLOOKUP(C140,Inventory!$A$5:$E$104,5,FALSE),"")))</x:f>
      </x:c>
    </x:row>
    <x:row r="141">
      <x:c r="A141" s="44"/>
      <x:c r="B141" s="45"/>
      <x:c r="C141" s="45"/>
      <x:c r="D141" s="45"/>
      <x:c r="E141" s="78"/>
      <x:c r="F141" s="78"/>
      <x:c r="G141" s="45"/>
      <x:c r="H141" s="66" t="str">
        <x:f>IF(OR(E141="",F141=""),"",MAX(1,F141-E141+1))</x:f>
      </x:c>
      <x:c r="I141" s="84" t="str">
        <x:f>IF(OR(C141="",D141="",H141=""),"",IF(G141="Cancelled",0,IFERROR(D141*H141*VLOOKUP(C141,Inventory!$A$5:$E$104,5,FALSE),"")))</x:f>
      </x:c>
    </x:row>
    <x:row r="142">
      <x:c r="A142" s="44"/>
      <x:c r="B142" s="45"/>
      <x:c r="C142" s="45"/>
      <x:c r="D142" s="45"/>
      <x:c r="E142" s="78"/>
      <x:c r="F142" s="78"/>
      <x:c r="G142" s="45"/>
      <x:c r="H142" s="66" t="str">
        <x:f>IF(OR(E142="",F142=""),"",MAX(1,F142-E142+1))</x:f>
      </x:c>
      <x:c r="I142" s="84" t="str">
        <x:f>IF(OR(C142="",D142="",H142=""),"",IF(G142="Cancelled",0,IFERROR(D142*H142*VLOOKUP(C142,Inventory!$A$5:$E$104,5,FALSE),"")))</x:f>
      </x:c>
    </x:row>
    <x:row r="143">
      <x:c r="A143" s="44"/>
      <x:c r="B143" s="45"/>
      <x:c r="C143" s="45"/>
      <x:c r="D143" s="45"/>
      <x:c r="E143" s="78"/>
      <x:c r="F143" s="78"/>
      <x:c r="G143" s="45"/>
      <x:c r="H143" s="66" t="str">
        <x:f>IF(OR(E143="",F143=""),"",MAX(1,F143-E143+1))</x:f>
      </x:c>
      <x:c r="I143" s="84" t="str">
        <x:f>IF(OR(C143="",D143="",H143=""),"",IF(G143="Cancelled",0,IFERROR(D143*H143*VLOOKUP(C143,Inventory!$A$5:$E$104,5,FALSE),"")))</x:f>
      </x:c>
    </x:row>
    <x:row r="144">
      <x:c r="A144" s="44"/>
      <x:c r="B144" s="45"/>
      <x:c r="C144" s="45"/>
      <x:c r="D144" s="45"/>
      <x:c r="E144" s="78"/>
      <x:c r="F144" s="78"/>
      <x:c r="G144" s="45"/>
      <x:c r="H144" s="66" t="str">
        <x:f>IF(OR(E144="",F144=""),"",MAX(1,F144-E144+1))</x:f>
      </x:c>
      <x:c r="I144" s="84" t="str">
        <x:f>IF(OR(C144="",D144="",H144=""),"",IF(G144="Cancelled",0,IFERROR(D144*H144*VLOOKUP(C144,Inventory!$A$5:$E$104,5,FALSE),"")))</x:f>
      </x:c>
    </x:row>
    <x:row r="145">
      <x:c r="A145" s="44"/>
      <x:c r="B145" s="45"/>
      <x:c r="C145" s="45"/>
      <x:c r="D145" s="45"/>
      <x:c r="E145" s="78"/>
      <x:c r="F145" s="78"/>
      <x:c r="G145" s="45"/>
      <x:c r="H145" s="66" t="str">
        <x:f>IF(OR(E145="",F145=""),"",MAX(1,F145-E145+1))</x:f>
      </x:c>
      <x:c r="I145" s="84" t="str">
        <x:f>IF(OR(C145="",D145="",H145=""),"",IF(G145="Cancelled",0,IFERROR(D145*H145*VLOOKUP(C145,Inventory!$A$5:$E$104,5,FALSE),"")))</x:f>
      </x:c>
    </x:row>
    <x:row r="146">
      <x:c r="A146" s="44"/>
      <x:c r="B146" s="45"/>
      <x:c r="C146" s="45"/>
      <x:c r="D146" s="45"/>
      <x:c r="E146" s="78"/>
      <x:c r="F146" s="78"/>
      <x:c r="G146" s="45"/>
      <x:c r="H146" s="66" t="str">
        <x:f>IF(OR(E146="",F146=""),"",MAX(1,F146-E146+1))</x:f>
      </x:c>
      <x:c r="I146" s="84" t="str">
        <x:f>IF(OR(C146="",D146="",H146=""),"",IF(G146="Cancelled",0,IFERROR(D146*H146*VLOOKUP(C146,Inventory!$A$5:$E$104,5,FALSE),"")))</x:f>
      </x:c>
    </x:row>
    <x:row r="147">
      <x:c r="A147" s="44"/>
      <x:c r="B147" s="45"/>
      <x:c r="C147" s="45"/>
      <x:c r="D147" s="45"/>
      <x:c r="E147" s="78"/>
      <x:c r="F147" s="78"/>
      <x:c r="G147" s="45"/>
      <x:c r="H147" s="66" t="str">
        <x:f>IF(OR(E147="",F147=""),"",MAX(1,F147-E147+1))</x:f>
      </x:c>
      <x:c r="I147" s="84" t="str">
        <x:f>IF(OR(C147="",D147="",H147=""),"",IF(G147="Cancelled",0,IFERROR(D147*H147*VLOOKUP(C147,Inventory!$A$5:$E$104,5,FALSE),"")))</x:f>
      </x:c>
    </x:row>
    <x:row r="148">
      <x:c r="A148" s="44"/>
      <x:c r="B148" s="45"/>
      <x:c r="C148" s="45"/>
      <x:c r="D148" s="45"/>
      <x:c r="E148" s="78"/>
      <x:c r="F148" s="78"/>
      <x:c r="G148" s="45"/>
      <x:c r="H148" s="66" t="str">
        <x:f>IF(OR(E148="",F148=""),"",MAX(1,F148-E148+1))</x:f>
      </x:c>
      <x:c r="I148" s="84" t="str">
        <x:f>IF(OR(C148="",D148="",H148=""),"",IF(G148="Cancelled",0,IFERROR(D148*H148*VLOOKUP(C148,Inventory!$A$5:$E$104,5,FALSE),"")))</x:f>
      </x:c>
    </x:row>
    <x:row r="149">
      <x:c r="A149" s="44"/>
      <x:c r="B149" s="45"/>
      <x:c r="C149" s="45"/>
      <x:c r="D149" s="45"/>
      <x:c r="E149" s="78"/>
      <x:c r="F149" s="78"/>
      <x:c r="G149" s="45"/>
      <x:c r="H149" s="66" t="str">
        <x:f>IF(OR(E149="",F149=""),"",MAX(1,F149-E149+1))</x:f>
      </x:c>
      <x:c r="I149" s="84" t="str">
        <x:f>IF(OR(C149="",D149="",H149=""),"",IF(G149="Cancelled",0,IFERROR(D149*H149*VLOOKUP(C149,Inventory!$A$5:$E$104,5,FALSE),"")))</x:f>
      </x:c>
    </x:row>
    <x:row r="150">
      <x:c r="A150" s="44"/>
      <x:c r="B150" s="45"/>
      <x:c r="C150" s="45"/>
      <x:c r="D150" s="45"/>
      <x:c r="E150" s="78"/>
      <x:c r="F150" s="78"/>
      <x:c r="G150" s="45"/>
      <x:c r="H150" s="66" t="str">
        <x:f>IF(OR(E150="",F150=""),"",MAX(1,F150-E150+1))</x:f>
      </x:c>
      <x:c r="I150" s="84" t="str">
        <x:f>IF(OR(C150="",D150="",H150=""),"",IF(G150="Cancelled",0,IFERROR(D150*H150*VLOOKUP(C150,Inventory!$A$5:$E$104,5,FALSE),"")))</x:f>
      </x:c>
    </x:row>
    <x:row r="151">
      <x:c r="A151" s="44"/>
      <x:c r="B151" s="45"/>
      <x:c r="C151" s="45"/>
      <x:c r="D151" s="45"/>
      <x:c r="E151" s="78"/>
      <x:c r="F151" s="78"/>
      <x:c r="G151" s="45"/>
      <x:c r="H151" s="66" t="str">
        <x:f>IF(OR(E151="",F151=""),"",MAX(1,F151-E151+1))</x:f>
      </x:c>
      <x:c r="I151" s="84" t="str">
        <x:f>IF(OR(C151="",D151="",H151=""),"",IF(G151="Cancelled",0,IFERROR(D151*H151*VLOOKUP(C151,Inventory!$A$5:$E$104,5,FALSE),"")))</x:f>
      </x:c>
    </x:row>
    <x:row r="152">
      <x:c r="A152" s="44"/>
      <x:c r="B152" s="45"/>
      <x:c r="C152" s="45"/>
      <x:c r="D152" s="45"/>
      <x:c r="E152" s="78"/>
      <x:c r="F152" s="78"/>
      <x:c r="G152" s="45"/>
      <x:c r="H152" s="66" t="str">
        <x:f>IF(OR(E152="",F152=""),"",MAX(1,F152-E152+1))</x:f>
      </x:c>
      <x:c r="I152" s="84" t="str">
        <x:f>IF(OR(C152="",D152="",H152=""),"",IF(G152="Cancelled",0,IFERROR(D152*H152*VLOOKUP(C152,Inventory!$A$5:$E$104,5,FALSE),"")))</x:f>
      </x:c>
    </x:row>
    <x:row r="153">
      <x:c r="A153" s="44"/>
      <x:c r="B153" s="45"/>
      <x:c r="C153" s="45"/>
      <x:c r="D153" s="45"/>
      <x:c r="E153" s="78"/>
      <x:c r="F153" s="78"/>
      <x:c r="G153" s="45"/>
      <x:c r="H153" s="66" t="str">
        <x:f>IF(OR(E153="",F153=""),"",MAX(1,F153-E153+1))</x:f>
      </x:c>
      <x:c r="I153" s="84" t="str">
        <x:f>IF(OR(C153="",D153="",H153=""),"",IF(G153="Cancelled",0,IFERROR(D153*H153*VLOOKUP(C153,Inventory!$A$5:$E$104,5,FALSE),"")))</x:f>
      </x:c>
    </x:row>
    <x:row r="154">
      <x:c r="A154" s="44"/>
      <x:c r="B154" s="45"/>
      <x:c r="C154" s="45"/>
      <x:c r="D154" s="45"/>
      <x:c r="E154" s="78"/>
      <x:c r="F154" s="78"/>
      <x:c r="G154" s="45"/>
      <x:c r="H154" s="66" t="str">
        <x:f>IF(OR(E154="",F154=""),"",MAX(1,F154-E154+1))</x:f>
      </x:c>
      <x:c r="I154" s="84" t="str">
        <x:f>IF(OR(C154="",D154="",H154=""),"",IF(G154="Cancelled",0,IFERROR(D154*H154*VLOOKUP(C154,Inventory!$A$5:$E$104,5,FALSE),"")))</x:f>
      </x:c>
    </x:row>
    <x:row r="155">
      <x:c r="A155" s="44"/>
      <x:c r="B155" s="45"/>
      <x:c r="C155" s="45"/>
      <x:c r="D155" s="45"/>
      <x:c r="E155" s="78"/>
      <x:c r="F155" s="78"/>
      <x:c r="G155" s="45"/>
      <x:c r="H155" s="66" t="str">
        <x:f>IF(OR(E155="",F155=""),"",MAX(1,F155-E155+1))</x:f>
      </x:c>
      <x:c r="I155" s="84" t="str">
        <x:f>IF(OR(C155="",D155="",H155=""),"",IF(G155="Cancelled",0,IFERROR(D155*H155*VLOOKUP(C155,Inventory!$A$5:$E$104,5,FALSE),"")))</x:f>
      </x:c>
    </x:row>
    <x:row r="156">
      <x:c r="A156" s="44"/>
      <x:c r="B156" s="45"/>
      <x:c r="C156" s="45"/>
      <x:c r="D156" s="45"/>
      <x:c r="E156" s="78"/>
      <x:c r="F156" s="78"/>
      <x:c r="G156" s="45"/>
      <x:c r="H156" s="66" t="str">
        <x:f>IF(OR(E156="",F156=""),"",MAX(1,F156-E156+1))</x:f>
      </x:c>
      <x:c r="I156" s="84" t="str">
        <x:f>IF(OR(C156="",D156="",H156=""),"",IF(G156="Cancelled",0,IFERROR(D156*H156*VLOOKUP(C156,Inventory!$A$5:$E$104,5,FALSE),"")))</x:f>
      </x:c>
    </x:row>
    <x:row r="157">
      <x:c r="A157" s="44"/>
      <x:c r="B157" s="45"/>
      <x:c r="C157" s="45"/>
      <x:c r="D157" s="45"/>
      <x:c r="E157" s="78"/>
      <x:c r="F157" s="78"/>
      <x:c r="G157" s="45"/>
      <x:c r="H157" s="66" t="str">
        <x:f>IF(OR(E157="",F157=""),"",MAX(1,F157-E157+1))</x:f>
      </x:c>
      <x:c r="I157" s="84" t="str">
        <x:f>IF(OR(C157="",D157="",H157=""),"",IF(G157="Cancelled",0,IFERROR(D157*H157*VLOOKUP(C157,Inventory!$A$5:$E$104,5,FALSE),"")))</x:f>
      </x:c>
    </x:row>
    <x:row r="158">
      <x:c r="A158" s="44"/>
      <x:c r="B158" s="45"/>
      <x:c r="C158" s="45"/>
      <x:c r="D158" s="45"/>
      <x:c r="E158" s="78"/>
      <x:c r="F158" s="78"/>
      <x:c r="G158" s="45"/>
      <x:c r="H158" s="66" t="str">
        <x:f>IF(OR(E158="",F158=""),"",MAX(1,F158-E158+1))</x:f>
      </x:c>
      <x:c r="I158" s="84" t="str">
        <x:f>IF(OR(C158="",D158="",H158=""),"",IF(G158="Cancelled",0,IFERROR(D158*H158*VLOOKUP(C158,Inventory!$A$5:$E$104,5,FALSE),"")))</x:f>
      </x:c>
    </x:row>
    <x:row r="159">
      <x:c r="A159" s="44"/>
      <x:c r="B159" s="45"/>
      <x:c r="C159" s="45"/>
      <x:c r="D159" s="45"/>
      <x:c r="E159" s="78"/>
      <x:c r="F159" s="78"/>
      <x:c r="G159" s="45"/>
      <x:c r="H159" s="66" t="str">
        <x:f>IF(OR(E159="",F159=""),"",MAX(1,F159-E159+1))</x:f>
      </x:c>
      <x:c r="I159" s="84" t="str">
        <x:f>IF(OR(C159="",D159="",H159=""),"",IF(G159="Cancelled",0,IFERROR(D159*H159*VLOOKUP(C159,Inventory!$A$5:$E$104,5,FALSE),"")))</x:f>
      </x:c>
    </x:row>
    <x:row r="160">
      <x:c r="A160" s="44"/>
      <x:c r="B160" s="45"/>
      <x:c r="C160" s="45"/>
      <x:c r="D160" s="45"/>
      <x:c r="E160" s="78"/>
      <x:c r="F160" s="78"/>
      <x:c r="G160" s="45"/>
      <x:c r="H160" s="66" t="str">
        <x:f>IF(OR(E160="",F160=""),"",MAX(1,F160-E160+1))</x:f>
      </x:c>
      <x:c r="I160" s="84" t="str">
        <x:f>IF(OR(C160="",D160="",H160=""),"",IF(G160="Cancelled",0,IFERROR(D160*H160*VLOOKUP(C160,Inventory!$A$5:$E$104,5,FALSE),"")))</x:f>
      </x:c>
    </x:row>
    <x:row r="161">
      <x:c r="A161" s="44"/>
      <x:c r="B161" s="45"/>
      <x:c r="C161" s="45"/>
      <x:c r="D161" s="45"/>
      <x:c r="E161" s="78"/>
      <x:c r="F161" s="78"/>
      <x:c r="G161" s="45"/>
      <x:c r="H161" s="66" t="str">
        <x:f>IF(OR(E161="",F161=""),"",MAX(1,F161-E161+1))</x:f>
      </x:c>
      <x:c r="I161" s="84" t="str">
        <x:f>IF(OR(C161="",D161="",H161=""),"",IF(G161="Cancelled",0,IFERROR(D161*H161*VLOOKUP(C161,Inventory!$A$5:$E$104,5,FALSE),"")))</x:f>
      </x:c>
    </x:row>
    <x:row r="162">
      <x:c r="A162" s="44"/>
      <x:c r="B162" s="45"/>
      <x:c r="C162" s="45"/>
      <x:c r="D162" s="45"/>
      <x:c r="E162" s="78"/>
      <x:c r="F162" s="78"/>
      <x:c r="G162" s="45"/>
      <x:c r="H162" s="66" t="str">
        <x:f>IF(OR(E162="",F162=""),"",MAX(1,F162-E162+1))</x:f>
      </x:c>
      <x:c r="I162" s="84" t="str">
        <x:f>IF(OR(C162="",D162="",H162=""),"",IF(G162="Cancelled",0,IFERROR(D162*H162*VLOOKUP(C162,Inventory!$A$5:$E$104,5,FALSE),"")))</x:f>
      </x:c>
    </x:row>
    <x:row r="163">
      <x:c r="A163" s="44"/>
      <x:c r="B163" s="45"/>
      <x:c r="C163" s="45"/>
      <x:c r="D163" s="45"/>
      <x:c r="E163" s="78"/>
      <x:c r="F163" s="78"/>
      <x:c r="G163" s="45"/>
      <x:c r="H163" s="66" t="str">
        <x:f>IF(OR(E163="",F163=""),"",MAX(1,F163-E163+1))</x:f>
      </x:c>
      <x:c r="I163" s="84" t="str">
        <x:f>IF(OR(C163="",D163="",H163=""),"",IF(G163="Cancelled",0,IFERROR(D163*H163*VLOOKUP(C163,Inventory!$A$5:$E$104,5,FALSE),"")))</x:f>
      </x:c>
    </x:row>
    <x:row r="164">
      <x:c r="A164" s="44"/>
      <x:c r="B164" s="45"/>
      <x:c r="C164" s="45"/>
      <x:c r="D164" s="45"/>
      <x:c r="E164" s="78"/>
      <x:c r="F164" s="78"/>
      <x:c r="G164" s="45"/>
      <x:c r="H164" s="66" t="str">
        <x:f>IF(OR(E164="",F164=""),"",MAX(1,F164-E164+1))</x:f>
      </x:c>
      <x:c r="I164" s="84" t="str">
        <x:f>IF(OR(C164="",D164="",H164=""),"",IF(G164="Cancelled",0,IFERROR(D164*H164*VLOOKUP(C164,Inventory!$A$5:$E$104,5,FALSE),"")))</x:f>
      </x:c>
    </x:row>
    <x:row r="165">
      <x:c r="A165" s="44"/>
      <x:c r="B165" s="45"/>
      <x:c r="C165" s="45"/>
      <x:c r="D165" s="45"/>
      <x:c r="E165" s="78"/>
      <x:c r="F165" s="78"/>
      <x:c r="G165" s="45"/>
      <x:c r="H165" s="66" t="str">
        <x:f>IF(OR(E165="",F165=""),"",MAX(1,F165-E165+1))</x:f>
      </x:c>
      <x:c r="I165" s="84" t="str">
        <x:f>IF(OR(C165="",D165="",H165=""),"",IF(G165="Cancelled",0,IFERROR(D165*H165*VLOOKUP(C165,Inventory!$A$5:$E$104,5,FALSE),"")))</x:f>
      </x:c>
    </x:row>
    <x:row r="166">
      <x:c r="A166" s="44"/>
      <x:c r="B166" s="45"/>
      <x:c r="C166" s="45"/>
      <x:c r="D166" s="45"/>
      <x:c r="E166" s="78"/>
      <x:c r="F166" s="78"/>
      <x:c r="G166" s="45"/>
      <x:c r="H166" s="66" t="str">
        <x:f>IF(OR(E166="",F166=""),"",MAX(1,F166-E166+1))</x:f>
      </x:c>
      <x:c r="I166" s="84" t="str">
        <x:f>IF(OR(C166="",D166="",H166=""),"",IF(G166="Cancelled",0,IFERROR(D166*H166*VLOOKUP(C166,Inventory!$A$5:$E$104,5,FALSE),"")))</x:f>
      </x:c>
    </x:row>
    <x:row r="167">
      <x:c r="A167" s="44"/>
      <x:c r="B167" s="45"/>
      <x:c r="C167" s="45"/>
      <x:c r="D167" s="45"/>
      <x:c r="E167" s="78"/>
      <x:c r="F167" s="78"/>
      <x:c r="G167" s="45"/>
      <x:c r="H167" s="66" t="str">
        <x:f>IF(OR(E167="",F167=""),"",MAX(1,F167-E167+1))</x:f>
      </x:c>
      <x:c r="I167" s="84" t="str">
        <x:f>IF(OR(C167="",D167="",H167=""),"",IF(G167="Cancelled",0,IFERROR(D167*H167*VLOOKUP(C167,Inventory!$A$5:$E$104,5,FALSE),"")))</x:f>
      </x:c>
    </x:row>
    <x:row r="168">
      <x:c r="A168" s="44"/>
      <x:c r="B168" s="45"/>
      <x:c r="C168" s="45"/>
      <x:c r="D168" s="45"/>
      <x:c r="E168" s="78"/>
      <x:c r="F168" s="78"/>
      <x:c r="G168" s="45"/>
      <x:c r="H168" s="66" t="str">
        <x:f>IF(OR(E168="",F168=""),"",MAX(1,F168-E168+1))</x:f>
      </x:c>
      <x:c r="I168" s="84" t="str">
        <x:f>IF(OR(C168="",D168="",H168=""),"",IF(G168="Cancelled",0,IFERROR(D168*H168*VLOOKUP(C168,Inventory!$A$5:$E$104,5,FALSE),"")))</x:f>
      </x:c>
    </x:row>
    <x:row r="169">
      <x:c r="A169" s="44"/>
      <x:c r="B169" s="45"/>
      <x:c r="C169" s="45"/>
      <x:c r="D169" s="45"/>
      <x:c r="E169" s="78"/>
      <x:c r="F169" s="78"/>
      <x:c r="G169" s="45"/>
      <x:c r="H169" s="66" t="str">
        <x:f>IF(OR(E169="",F169=""),"",MAX(1,F169-E169+1))</x:f>
      </x:c>
      <x:c r="I169" s="84" t="str">
        <x:f>IF(OR(C169="",D169="",H169=""),"",IF(G169="Cancelled",0,IFERROR(D169*H169*VLOOKUP(C169,Inventory!$A$5:$E$104,5,FALSE),"")))</x:f>
      </x:c>
    </x:row>
    <x:row r="170">
      <x:c r="A170" s="44"/>
      <x:c r="B170" s="45"/>
      <x:c r="C170" s="45"/>
      <x:c r="D170" s="45"/>
      <x:c r="E170" s="78"/>
      <x:c r="F170" s="78"/>
      <x:c r="G170" s="45"/>
      <x:c r="H170" s="66" t="str">
        <x:f>IF(OR(E170="",F170=""),"",MAX(1,F170-E170+1))</x:f>
      </x:c>
      <x:c r="I170" s="84" t="str">
        <x:f>IF(OR(C170="",D170="",H170=""),"",IF(G170="Cancelled",0,IFERROR(D170*H170*VLOOKUP(C170,Inventory!$A$5:$E$104,5,FALSE),"")))</x:f>
      </x:c>
    </x:row>
    <x:row r="171">
      <x:c r="A171" s="44"/>
      <x:c r="B171" s="45"/>
      <x:c r="C171" s="45"/>
      <x:c r="D171" s="45"/>
      <x:c r="E171" s="78"/>
      <x:c r="F171" s="78"/>
      <x:c r="G171" s="45"/>
      <x:c r="H171" s="66" t="str">
        <x:f>IF(OR(E171="",F171=""),"",MAX(1,F171-E171+1))</x:f>
      </x:c>
      <x:c r="I171" s="84" t="str">
        <x:f>IF(OR(C171="",D171="",H171=""),"",IF(G171="Cancelled",0,IFERROR(D171*H171*VLOOKUP(C171,Inventory!$A$5:$E$104,5,FALSE),"")))</x:f>
      </x:c>
    </x:row>
    <x:row r="172">
      <x:c r="A172" s="44"/>
      <x:c r="B172" s="45"/>
      <x:c r="C172" s="45"/>
      <x:c r="D172" s="45"/>
      <x:c r="E172" s="78"/>
      <x:c r="F172" s="78"/>
      <x:c r="G172" s="45"/>
      <x:c r="H172" s="66" t="str">
        <x:f>IF(OR(E172="",F172=""),"",MAX(1,F172-E172+1))</x:f>
      </x:c>
      <x:c r="I172" s="84" t="str">
        <x:f>IF(OR(C172="",D172="",H172=""),"",IF(G172="Cancelled",0,IFERROR(D172*H172*VLOOKUP(C172,Inventory!$A$5:$E$104,5,FALSE),"")))</x:f>
      </x:c>
    </x:row>
    <x:row r="173">
      <x:c r="A173" s="44"/>
      <x:c r="B173" s="45"/>
      <x:c r="C173" s="45"/>
      <x:c r="D173" s="45"/>
      <x:c r="E173" s="78"/>
      <x:c r="F173" s="78"/>
      <x:c r="G173" s="45"/>
      <x:c r="H173" s="66" t="str">
        <x:f>IF(OR(E173="",F173=""),"",MAX(1,F173-E173+1))</x:f>
      </x:c>
      <x:c r="I173" s="84" t="str">
        <x:f>IF(OR(C173="",D173="",H173=""),"",IF(G173="Cancelled",0,IFERROR(D173*H173*VLOOKUP(C173,Inventory!$A$5:$E$104,5,FALSE),"")))</x:f>
      </x:c>
    </x:row>
    <x:row r="174">
      <x:c r="A174" s="44"/>
      <x:c r="B174" s="45"/>
      <x:c r="C174" s="45"/>
      <x:c r="D174" s="45"/>
      <x:c r="E174" s="78"/>
      <x:c r="F174" s="78"/>
      <x:c r="G174" s="45"/>
      <x:c r="H174" s="66" t="str">
        <x:f>IF(OR(E174="",F174=""),"",MAX(1,F174-E174+1))</x:f>
      </x:c>
      <x:c r="I174" s="84" t="str">
        <x:f>IF(OR(C174="",D174="",H174=""),"",IF(G174="Cancelled",0,IFERROR(D174*H174*VLOOKUP(C174,Inventory!$A$5:$E$104,5,FALSE),"")))</x:f>
      </x:c>
    </x:row>
    <x:row r="175">
      <x:c r="A175" s="44"/>
      <x:c r="B175" s="45"/>
      <x:c r="C175" s="45"/>
      <x:c r="D175" s="45"/>
      <x:c r="E175" s="78"/>
      <x:c r="F175" s="78"/>
      <x:c r="G175" s="45"/>
      <x:c r="H175" s="66" t="str">
        <x:f>IF(OR(E175="",F175=""),"",MAX(1,F175-E175+1))</x:f>
      </x:c>
      <x:c r="I175" s="84" t="str">
        <x:f>IF(OR(C175="",D175="",H175=""),"",IF(G175="Cancelled",0,IFERROR(D175*H175*VLOOKUP(C175,Inventory!$A$5:$E$104,5,FALSE),"")))</x:f>
      </x:c>
    </x:row>
    <x:row r="176">
      <x:c r="A176" s="44"/>
      <x:c r="B176" s="45"/>
      <x:c r="C176" s="45"/>
      <x:c r="D176" s="45"/>
      <x:c r="E176" s="78"/>
      <x:c r="F176" s="78"/>
      <x:c r="G176" s="45"/>
      <x:c r="H176" s="66" t="str">
        <x:f>IF(OR(E176="",F176=""),"",MAX(1,F176-E176+1))</x:f>
      </x:c>
      <x:c r="I176" s="84" t="str">
        <x:f>IF(OR(C176="",D176="",H176=""),"",IF(G176="Cancelled",0,IFERROR(D176*H176*VLOOKUP(C176,Inventory!$A$5:$E$104,5,FALSE),"")))</x:f>
      </x:c>
    </x:row>
    <x:row r="177">
      <x:c r="A177" s="44"/>
      <x:c r="B177" s="45"/>
      <x:c r="C177" s="45"/>
      <x:c r="D177" s="45"/>
      <x:c r="E177" s="78"/>
      <x:c r="F177" s="78"/>
      <x:c r="G177" s="45"/>
      <x:c r="H177" s="66" t="str">
        <x:f>IF(OR(E177="",F177=""),"",MAX(1,F177-E177+1))</x:f>
      </x:c>
      <x:c r="I177" s="84" t="str">
        <x:f>IF(OR(C177="",D177="",H177=""),"",IF(G177="Cancelled",0,IFERROR(D177*H177*VLOOKUP(C177,Inventory!$A$5:$E$104,5,FALSE),"")))</x:f>
      </x:c>
    </x:row>
    <x:row r="178">
      <x:c r="A178" s="44"/>
      <x:c r="B178" s="45"/>
      <x:c r="C178" s="45"/>
      <x:c r="D178" s="45"/>
      <x:c r="E178" s="78"/>
      <x:c r="F178" s="78"/>
      <x:c r="G178" s="45"/>
      <x:c r="H178" s="66" t="str">
        <x:f>IF(OR(E178="",F178=""),"",MAX(1,F178-E178+1))</x:f>
      </x:c>
      <x:c r="I178" s="84" t="str">
        <x:f>IF(OR(C178="",D178="",H178=""),"",IF(G178="Cancelled",0,IFERROR(D178*H178*VLOOKUP(C178,Inventory!$A$5:$E$104,5,FALSE),"")))</x:f>
      </x:c>
    </x:row>
    <x:row r="179">
      <x:c r="A179" s="44"/>
      <x:c r="B179" s="45"/>
      <x:c r="C179" s="45"/>
      <x:c r="D179" s="45"/>
      <x:c r="E179" s="78"/>
      <x:c r="F179" s="78"/>
      <x:c r="G179" s="45"/>
      <x:c r="H179" s="66" t="str">
        <x:f>IF(OR(E179="",F179=""),"",MAX(1,F179-E179+1))</x:f>
      </x:c>
      <x:c r="I179" s="84" t="str">
        <x:f>IF(OR(C179="",D179="",H179=""),"",IF(G179="Cancelled",0,IFERROR(D179*H179*VLOOKUP(C179,Inventory!$A$5:$E$104,5,FALSE),"")))</x:f>
      </x:c>
    </x:row>
    <x:row r="180">
      <x:c r="A180" s="44"/>
      <x:c r="B180" s="45"/>
      <x:c r="C180" s="45"/>
      <x:c r="D180" s="45"/>
      <x:c r="E180" s="78"/>
      <x:c r="F180" s="78"/>
      <x:c r="G180" s="45"/>
      <x:c r="H180" s="66" t="str">
        <x:f>IF(OR(E180="",F180=""),"",MAX(1,F180-E180+1))</x:f>
      </x:c>
      <x:c r="I180" s="84" t="str">
        <x:f>IF(OR(C180="",D180="",H180=""),"",IF(G180="Cancelled",0,IFERROR(D180*H180*VLOOKUP(C180,Inventory!$A$5:$E$104,5,FALSE),"")))</x:f>
      </x:c>
    </x:row>
    <x:row r="181">
      <x:c r="A181" s="44"/>
      <x:c r="B181" s="45"/>
      <x:c r="C181" s="45"/>
      <x:c r="D181" s="45"/>
      <x:c r="E181" s="78"/>
      <x:c r="F181" s="78"/>
      <x:c r="G181" s="45"/>
      <x:c r="H181" s="66" t="str">
        <x:f>IF(OR(E181="",F181=""),"",MAX(1,F181-E181+1))</x:f>
      </x:c>
      <x:c r="I181" s="84" t="str">
        <x:f>IF(OR(C181="",D181="",H181=""),"",IF(G181="Cancelled",0,IFERROR(D181*H181*VLOOKUP(C181,Inventory!$A$5:$E$104,5,FALSE),"")))</x:f>
      </x:c>
    </x:row>
    <x:row r="182">
      <x:c r="A182" s="44"/>
      <x:c r="B182" s="45"/>
      <x:c r="C182" s="45"/>
      <x:c r="D182" s="45"/>
      <x:c r="E182" s="78"/>
      <x:c r="F182" s="78"/>
      <x:c r="G182" s="45"/>
      <x:c r="H182" s="66" t="str">
        <x:f>IF(OR(E182="",F182=""),"",MAX(1,F182-E182+1))</x:f>
      </x:c>
      <x:c r="I182" s="84" t="str">
        <x:f>IF(OR(C182="",D182="",H182=""),"",IF(G182="Cancelled",0,IFERROR(D182*H182*VLOOKUP(C182,Inventory!$A$5:$E$104,5,FALSE),"")))</x:f>
      </x:c>
    </x:row>
    <x:row r="183">
      <x:c r="A183" s="44"/>
      <x:c r="B183" s="45"/>
      <x:c r="C183" s="45"/>
      <x:c r="D183" s="45"/>
      <x:c r="E183" s="78"/>
      <x:c r="F183" s="78"/>
      <x:c r="G183" s="45"/>
      <x:c r="H183" s="66" t="str">
        <x:f>IF(OR(E183="",F183=""),"",MAX(1,F183-E183+1))</x:f>
      </x:c>
      <x:c r="I183" s="84" t="str">
        <x:f>IF(OR(C183="",D183="",H183=""),"",IF(G183="Cancelled",0,IFERROR(D183*H183*VLOOKUP(C183,Inventory!$A$5:$E$104,5,FALSE),"")))</x:f>
      </x:c>
    </x:row>
    <x:row r="184">
      <x:c r="A184" s="44"/>
      <x:c r="B184" s="45"/>
      <x:c r="C184" s="45"/>
      <x:c r="D184" s="45"/>
      <x:c r="E184" s="78"/>
      <x:c r="F184" s="78"/>
      <x:c r="G184" s="45"/>
      <x:c r="H184" s="66" t="str">
        <x:f>IF(OR(E184="",F184=""),"",MAX(1,F184-E184+1))</x:f>
      </x:c>
      <x:c r="I184" s="84" t="str">
        <x:f>IF(OR(C184="",D184="",H184=""),"",IF(G184="Cancelled",0,IFERROR(D184*H184*VLOOKUP(C184,Inventory!$A$5:$E$104,5,FALSE),"")))</x:f>
      </x:c>
    </x:row>
    <x:row r="185">
      <x:c r="A185" s="44"/>
      <x:c r="B185" s="45"/>
      <x:c r="C185" s="45"/>
      <x:c r="D185" s="45"/>
      <x:c r="E185" s="78"/>
      <x:c r="F185" s="78"/>
      <x:c r="G185" s="45"/>
      <x:c r="H185" s="66" t="str">
        <x:f>IF(OR(E185="",F185=""),"",MAX(1,F185-E185+1))</x:f>
      </x:c>
      <x:c r="I185" s="84" t="str">
        <x:f>IF(OR(C185="",D185="",H185=""),"",IF(G185="Cancelled",0,IFERROR(D185*H185*VLOOKUP(C185,Inventory!$A$5:$E$104,5,FALSE),"")))</x:f>
      </x:c>
    </x:row>
    <x:row r="186">
      <x:c r="A186" s="44"/>
      <x:c r="B186" s="45"/>
      <x:c r="C186" s="45"/>
      <x:c r="D186" s="45"/>
      <x:c r="E186" s="78"/>
      <x:c r="F186" s="78"/>
      <x:c r="G186" s="45"/>
      <x:c r="H186" s="66" t="str">
        <x:f>IF(OR(E186="",F186=""),"",MAX(1,F186-E186+1))</x:f>
      </x:c>
      <x:c r="I186" s="84" t="str">
        <x:f>IF(OR(C186="",D186="",H186=""),"",IF(G186="Cancelled",0,IFERROR(D186*H186*VLOOKUP(C186,Inventory!$A$5:$E$104,5,FALSE),"")))</x:f>
      </x:c>
    </x:row>
    <x:row r="187">
      <x:c r="A187" s="44"/>
      <x:c r="B187" s="45"/>
      <x:c r="C187" s="45"/>
      <x:c r="D187" s="45"/>
      <x:c r="E187" s="78"/>
      <x:c r="F187" s="78"/>
      <x:c r="G187" s="45"/>
      <x:c r="H187" s="66" t="str">
        <x:f>IF(OR(E187="",F187=""),"",MAX(1,F187-E187+1))</x:f>
      </x:c>
      <x:c r="I187" s="84" t="str">
        <x:f>IF(OR(C187="",D187="",H187=""),"",IF(G187="Cancelled",0,IFERROR(D187*H187*VLOOKUP(C187,Inventory!$A$5:$E$104,5,FALSE),"")))</x:f>
      </x:c>
    </x:row>
    <x:row r="188">
      <x:c r="A188" s="44"/>
      <x:c r="B188" s="45"/>
      <x:c r="C188" s="45"/>
      <x:c r="D188" s="45"/>
      <x:c r="E188" s="78"/>
      <x:c r="F188" s="78"/>
      <x:c r="G188" s="45"/>
      <x:c r="H188" s="66" t="str">
        <x:f>IF(OR(E188="",F188=""),"",MAX(1,F188-E188+1))</x:f>
      </x:c>
      <x:c r="I188" s="84" t="str">
        <x:f>IF(OR(C188="",D188="",H188=""),"",IF(G188="Cancelled",0,IFERROR(D188*H188*VLOOKUP(C188,Inventory!$A$5:$E$104,5,FALSE),"")))</x:f>
      </x:c>
    </x:row>
    <x:row r="189">
      <x:c r="A189" s="44"/>
      <x:c r="B189" s="45"/>
      <x:c r="C189" s="45"/>
      <x:c r="D189" s="45"/>
      <x:c r="E189" s="78"/>
      <x:c r="F189" s="78"/>
      <x:c r="G189" s="45"/>
      <x:c r="H189" s="66" t="str">
        <x:f>IF(OR(E189="",F189=""),"",MAX(1,F189-E189+1))</x:f>
      </x:c>
      <x:c r="I189" s="84" t="str">
        <x:f>IF(OR(C189="",D189="",H189=""),"",IF(G189="Cancelled",0,IFERROR(D189*H189*VLOOKUP(C189,Inventory!$A$5:$E$104,5,FALSE),"")))</x:f>
      </x:c>
    </x:row>
    <x:row r="190">
      <x:c r="A190" s="44"/>
      <x:c r="B190" s="45"/>
      <x:c r="C190" s="45"/>
      <x:c r="D190" s="45"/>
      <x:c r="E190" s="78"/>
      <x:c r="F190" s="78"/>
      <x:c r="G190" s="45"/>
      <x:c r="H190" s="66" t="str">
        <x:f>IF(OR(E190="",F190=""),"",MAX(1,F190-E190+1))</x:f>
      </x:c>
      <x:c r="I190" s="84" t="str">
        <x:f>IF(OR(C190="",D190="",H190=""),"",IF(G190="Cancelled",0,IFERROR(D190*H190*VLOOKUP(C190,Inventory!$A$5:$E$104,5,FALSE),"")))</x:f>
      </x:c>
    </x:row>
    <x:row r="191">
      <x:c r="A191" s="44"/>
      <x:c r="B191" s="45"/>
      <x:c r="C191" s="45"/>
      <x:c r="D191" s="45"/>
      <x:c r="E191" s="78"/>
      <x:c r="F191" s="78"/>
      <x:c r="G191" s="45"/>
      <x:c r="H191" s="66" t="str">
        <x:f>IF(OR(E191="",F191=""),"",MAX(1,F191-E191+1))</x:f>
      </x:c>
      <x:c r="I191" s="84" t="str">
        <x:f>IF(OR(C191="",D191="",H191=""),"",IF(G191="Cancelled",0,IFERROR(D191*H191*VLOOKUP(C191,Inventory!$A$5:$E$104,5,FALSE),"")))</x:f>
      </x:c>
    </x:row>
    <x:row r="192">
      <x:c r="A192" s="44"/>
      <x:c r="B192" s="45"/>
      <x:c r="C192" s="45"/>
      <x:c r="D192" s="45"/>
      <x:c r="E192" s="78"/>
      <x:c r="F192" s="78"/>
      <x:c r="G192" s="45"/>
      <x:c r="H192" s="66" t="str">
        <x:f>IF(OR(E192="",F192=""),"",MAX(1,F192-E192+1))</x:f>
      </x:c>
      <x:c r="I192" s="84" t="str">
        <x:f>IF(OR(C192="",D192="",H192=""),"",IF(G192="Cancelled",0,IFERROR(D192*H192*VLOOKUP(C192,Inventory!$A$5:$E$104,5,FALSE),"")))</x:f>
      </x:c>
    </x:row>
    <x:row r="193">
      <x:c r="A193" s="44"/>
      <x:c r="B193" s="45"/>
      <x:c r="C193" s="45"/>
      <x:c r="D193" s="45"/>
      <x:c r="E193" s="78"/>
      <x:c r="F193" s="78"/>
      <x:c r="G193" s="45"/>
      <x:c r="H193" s="66" t="str">
        <x:f>IF(OR(E193="",F193=""),"",MAX(1,F193-E193+1))</x:f>
      </x:c>
      <x:c r="I193" s="84" t="str">
        <x:f>IF(OR(C193="",D193="",H193=""),"",IF(G193="Cancelled",0,IFERROR(D193*H193*VLOOKUP(C193,Inventory!$A$5:$E$104,5,FALSE),"")))</x:f>
      </x:c>
    </x:row>
    <x:row r="194">
      <x:c r="A194" s="44"/>
      <x:c r="B194" s="45"/>
      <x:c r="C194" s="45"/>
      <x:c r="D194" s="45"/>
      <x:c r="E194" s="78"/>
      <x:c r="F194" s="78"/>
      <x:c r="G194" s="45"/>
      <x:c r="H194" s="66" t="str">
        <x:f>IF(OR(E194="",F194=""),"",MAX(1,F194-E194+1))</x:f>
      </x:c>
      <x:c r="I194" s="84" t="str">
        <x:f>IF(OR(C194="",D194="",H194=""),"",IF(G194="Cancelled",0,IFERROR(D194*H194*VLOOKUP(C194,Inventory!$A$5:$E$104,5,FALSE),"")))</x:f>
      </x:c>
    </x:row>
    <x:row r="195">
      <x:c r="A195" s="44"/>
      <x:c r="B195" s="45"/>
      <x:c r="C195" s="45"/>
      <x:c r="D195" s="45"/>
      <x:c r="E195" s="78"/>
      <x:c r="F195" s="78"/>
      <x:c r="G195" s="45"/>
      <x:c r="H195" s="66" t="str">
        <x:f>IF(OR(E195="",F195=""),"",MAX(1,F195-E195+1))</x:f>
      </x:c>
      <x:c r="I195" s="84" t="str">
        <x:f>IF(OR(C195="",D195="",H195=""),"",IF(G195="Cancelled",0,IFERROR(D195*H195*VLOOKUP(C195,Inventory!$A$5:$E$104,5,FALSE),"")))</x:f>
      </x:c>
    </x:row>
    <x:row r="196">
      <x:c r="A196" s="44"/>
      <x:c r="B196" s="45"/>
      <x:c r="C196" s="45"/>
      <x:c r="D196" s="45"/>
      <x:c r="E196" s="78"/>
      <x:c r="F196" s="78"/>
      <x:c r="G196" s="45"/>
      <x:c r="H196" s="66" t="str">
        <x:f>IF(OR(E196="",F196=""),"",MAX(1,F196-E196+1))</x:f>
      </x:c>
      <x:c r="I196" s="84" t="str">
        <x:f>IF(OR(C196="",D196="",H196=""),"",IF(G196="Cancelled",0,IFERROR(D196*H196*VLOOKUP(C196,Inventory!$A$5:$E$104,5,FALSE),"")))</x:f>
      </x:c>
    </x:row>
    <x:row r="197">
      <x:c r="A197" s="44"/>
      <x:c r="B197" s="45"/>
      <x:c r="C197" s="45"/>
      <x:c r="D197" s="45"/>
      <x:c r="E197" s="78"/>
      <x:c r="F197" s="78"/>
      <x:c r="G197" s="45"/>
      <x:c r="H197" s="66" t="str">
        <x:f>IF(OR(E197="",F197=""),"",MAX(1,F197-E197+1))</x:f>
      </x:c>
      <x:c r="I197" s="84" t="str">
        <x:f>IF(OR(C197="",D197="",H197=""),"",IF(G197="Cancelled",0,IFERROR(D197*H197*VLOOKUP(C197,Inventory!$A$5:$E$104,5,FALSE),"")))</x:f>
      </x:c>
    </x:row>
    <x:row r="198">
      <x:c r="A198" s="44"/>
      <x:c r="B198" s="45"/>
      <x:c r="C198" s="45"/>
      <x:c r="D198" s="45"/>
      <x:c r="E198" s="78"/>
      <x:c r="F198" s="78"/>
      <x:c r="G198" s="45"/>
      <x:c r="H198" s="66" t="str">
        <x:f>IF(OR(E198="",F198=""),"",MAX(1,F198-E198+1))</x:f>
      </x:c>
      <x:c r="I198" s="84" t="str">
        <x:f>IF(OR(C198="",D198="",H198=""),"",IF(G198="Cancelled",0,IFERROR(D198*H198*VLOOKUP(C198,Inventory!$A$5:$E$104,5,FALSE),"")))</x:f>
      </x:c>
    </x:row>
    <x:row r="199">
      <x:c r="A199" s="44"/>
      <x:c r="B199" s="45"/>
      <x:c r="C199" s="45"/>
      <x:c r="D199" s="45"/>
      <x:c r="E199" s="78"/>
      <x:c r="F199" s="78"/>
      <x:c r="G199" s="45"/>
      <x:c r="H199" s="66" t="str">
        <x:f>IF(OR(E199="",F199=""),"",MAX(1,F199-E199+1))</x:f>
      </x:c>
      <x:c r="I199" s="84" t="str">
        <x:f>IF(OR(C199="",D199="",H199=""),"",IF(G199="Cancelled",0,IFERROR(D199*H199*VLOOKUP(C199,Inventory!$A$5:$E$104,5,FALSE),"")))</x:f>
      </x:c>
    </x:row>
    <x:row r="200">
      <x:c r="A200" s="44"/>
      <x:c r="B200" s="45"/>
      <x:c r="C200" s="45"/>
      <x:c r="D200" s="45"/>
      <x:c r="E200" s="78"/>
      <x:c r="F200" s="78"/>
      <x:c r="G200" s="45"/>
      <x:c r="H200" s="66" t="str">
        <x:f>IF(OR(E200="",F200=""),"",MAX(1,F200-E200+1))</x:f>
      </x:c>
      <x:c r="I200" s="84" t="str">
        <x:f>IF(OR(C200="",D200="",H200=""),"",IF(G200="Cancelled",0,IFERROR(D200*H200*VLOOKUP(C200,Inventory!$A$5:$E$104,5,FALSE),"")))</x:f>
      </x:c>
    </x:row>
    <x:row r="201">
      <x:c r="A201" s="44"/>
      <x:c r="B201" s="45"/>
      <x:c r="C201" s="45"/>
      <x:c r="D201" s="45"/>
      <x:c r="E201" s="78"/>
      <x:c r="F201" s="78"/>
      <x:c r="G201" s="45"/>
      <x:c r="H201" s="66" t="str">
        <x:f>IF(OR(E201="",F201=""),"",MAX(1,F201-E201+1))</x:f>
      </x:c>
      <x:c r="I201" s="84" t="str">
        <x:f>IF(OR(C201="",D201="",H201=""),"",IF(G201="Cancelled",0,IFERROR(D201*H201*VLOOKUP(C201,Inventory!$A$5:$E$104,5,FALSE),"")))</x:f>
      </x:c>
    </x:row>
    <x:row r="202">
      <x:c r="A202" s="44"/>
      <x:c r="B202" s="45"/>
      <x:c r="C202" s="45"/>
      <x:c r="D202" s="45"/>
      <x:c r="E202" s="78"/>
      <x:c r="F202" s="78"/>
      <x:c r="G202" s="45"/>
      <x:c r="H202" s="66" t="str">
        <x:f>IF(OR(E202="",F202=""),"",MAX(1,F202-E202+1))</x:f>
      </x:c>
      <x:c r="I202" s="84" t="str">
        <x:f>IF(OR(C202="",D202="",H202=""),"",IF(G202="Cancelled",0,IFERROR(D202*H202*VLOOKUP(C202,Inventory!$A$5:$E$104,5,FALSE),"")))</x:f>
      </x:c>
    </x:row>
    <x:row r="203">
      <x:c r="A203" s="44"/>
      <x:c r="B203" s="45"/>
      <x:c r="C203" s="45"/>
      <x:c r="D203" s="45"/>
      <x:c r="E203" s="78"/>
      <x:c r="F203" s="78"/>
      <x:c r="G203" s="45"/>
      <x:c r="H203" s="66" t="str">
        <x:f>IF(OR(E203="",F203=""),"",MAX(1,F203-E203+1))</x:f>
      </x:c>
      <x:c r="I203" s="84" t="str">
        <x:f>IF(OR(C203="",D203="",H203=""),"",IF(G203="Cancelled",0,IFERROR(D203*H203*VLOOKUP(C203,Inventory!$A$5:$E$104,5,FALSE),"")))</x:f>
      </x:c>
    </x:row>
    <x:row r="204">
      <x:c r="A204" s="44"/>
      <x:c r="B204" s="45"/>
      <x:c r="C204" s="45"/>
      <x:c r="D204" s="45"/>
      <x:c r="E204" s="78"/>
      <x:c r="F204" s="78"/>
      <x:c r="G204" s="45"/>
      <x:c r="H204" s="66" t="str">
        <x:f>IF(OR(E204="",F204=""),"",MAX(1,F204-E204+1))</x:f>
      </x:c>
      <x:c r="I204" s="84" t="str">
        <x:f>IF(OR(C204="",D204="",H204=""),"",IF(G204="Cancelled",0,IFERROR(D204*H204*VLOOKUP(C204,Inventory!$A$5:$E$104,5,FALSE),"")))</x:f>
      </x:c>
    </x:row>
    <x:row r="205">
      <x:c r="A205" s="44"/>
      <x:c r="B205" s="45"/>
      <x:c r="C205" s="45"/>
      <x:c r="D205" s="45"/>
      <x:c r="E205" s="78"/>
      <x:c r="F205" s="78"/>
      <x:c r="G205" s="45"/>
      <x:c r="H205" s="66" t="str">
        <x:f>IF(OR(E205="",F205=""),"",MAX(1,F205-E205+1))</x:f>
      </x:c>
      <x:c r="I205" s="84" t="str">
        <x:f>IF(OR(C205="",D205="",H205=""),"",IF(G205="Cancelled",0,IFERROR(D205*H205*VLOOKUP(C205,Inventory!$A$5:$E$104,5,FALSE),"")))</x:f>
      </x:c>
    </x:row>
    <x:row r="206">
      <x:c r="A206" s="44"/>
      <x:c r="B206" s="45"/>
      <x:c r="C206" s="45"/>
      <x:c r="D206" s="45"/>
      <x:c r="E206" s="78"/>
      <x:c r="F206" s="78"/>
      <x:c r="G206" s="45"/>
      <x:c r="H206" s="66" t="str">
        <x:f>IF(OR(E206="",F206=""),"",MAX(1,F206-E206+1))</x:f>
      </x:c>
      <x:c r="I206" s="84" t="str">
        <x:f>IF(OR(C206="",D206="",H206=""),"",IF(G206="Cancelled",0,IFERROR(D206*H206*VLOOKUP(C206,Inventory!$A$5:$E$104,5,FALSE),"")))</x:f>
      </x:c>
    </x:row>
    <x:row r="207">
      <x:c r="A207" s="44"/>
      <x:c r="B207" s="45"/>
      <x:c r="C207" s="45"/>
      <x:c r="D207" s="45"/>
      <x:c r="E207" s="78"/>
      <x:c r="F207" s="78"/>
      <x:c r="G207" s="45"/>
      <x:c r="H207" s="66" t="str">
        <x:f>IF(OR(E207="",F207=""),"",MAX(1,F207-E207+1))</x:f>
      </x:c>
      <x:c r="I207" s="84" t="str">
        <x:f>IF(OR(C207="",D207="",H207=""),"",IF(G207="Cancelled",0,IFERROR(D207*H207*VLOOKUP(C207,Inventory!$A$5:$E$104,5,FALSE),"")))</x:f>
      </x:c>
    </x:row>
    <x:row r="208">
      <x:c r="A208" s="44"/>
      <x:c r="B208" s="45"/>
      <x:c r="C208" s="45"/>
      <x:c r="D208" s="45"/>
      <x:c r="E208" s="78"/>
      <x:c r="F208" s="78"/>
      <x:c r="G208" s="45"/>
      <x:c r="H208" s="66" t="str">
        <x:f>IF(OR(E208="",F208=""),"",MAX(1,F208-E208+1))</x:f>
      </x:c>
      <x:c r="I208" s="84" t="str">
        <x:f>IF(OR(C208="",D208="",H208=""),"",IF(G208="Cancelled",0,IFERROR(D208*H208*VLOOKUP(C208,Inventory!$A$5:$E$104,5,FALSE),"")))</x:f>
      </x:c>
    </x:row>
    <x:row r="209">
      <x:c r="A209" s="44"/>
      <x:c r="B209" s="45"/>
      <x:c r="C209" s="45"/>
      <x:c r="D209" s="45"/>
      <x:c r="E209" s="78"/>
      <x:c r="F209" s="78"/>
      <x:c r="G209" s="45"/>
      <x:c r="H209" s="66" t="str">
        <x:f>IF(OR(E209="",F209=""),"",MAX(1,F209-E209+1))</x:f>
      </x:c>
      <x:c r="I209" s="84" t="str">
        <x:f>IF(OR(C209="",D209="",H209=""),"",IF(G209="Cancelled",0,IFERROR(D209*H209*VLOOKUP(C209,Inventory!$A$5:$E$104,5,FALSE),"")))</x:f>
      </x:c>
    </x:row>
    <x:row r="210">
      <x:c r="A210" s="44"/>
      <x:c r="B210" s="45"/>
      <x:c r="C210" s="45"/>
      <x:c r="D210" s="45"/>
      <x:c r="E210" s="78"/>
      <x:c r="F210" s="78"/>
      <x:c r="G210" s="45"/>
      <x:c r="H210" s="66" t="str">
        <x:f>IF(OR(E210="",F210=""),"",MAX(1,F210-E210+1))</x:f>
      </x:c>
      <x:c r="I210" s="84" t="str">
        <x:f>IF(OR(C210="",D210="",H210=""),"",IF(G210="Cancelled",0,IFERROR(D210*H210*VLOOKUP(C210,Inventory!$A$5:$E$104,5,FALSE),"")))</x:f>
      </x:c>
    </x:row>
    <x:row r="211">
      <x:c r="A211" s="44"/>
      <x:c r="B211" s="45"/>
      <x:c r="C211" s="45"/>
      <x:c r="D211" s="45"/>
      <x:c r="E211" s="78"/>
      <x:c r="F211" s="78"/>
      <x:c r="G211" s="45"/>
      <x:c r="H211" s="66" t="str">
        <x:f>IF(OR(E211="",F211=""),"",MAX(1,F211-E211+1))</x:f>
      </x:c>
      <x:c r="I211" s="84" t="str">
        <x:f>IF(OR(C211="",D211="",H211=""),"",IF(G211="Cancelled",0,IFERROR(D211*H211*VLOOKUP(C211,Inventory!$A$5:$E$104,5,FALSE),"")))</x:f>
      </x:c>
    </x:row>
    <x:row r="212">
      <x:c r="A212" s="44"/>
      <x:c r="B212" s="45"/>
      <x:c r="C212" s="45"/>
      <x:c r="D212" s="45"/>
      <x:c r="E212" s="78"/>
      <x:c r="F212" s="78"/>
      <x:c r="G212" s="45"/>
      <x:c r="H212" s="66" t="str">
        <x:f>IF(OR(E212="",F212=""),"",MAX(1,F212-E212+1))</x:f>
      </x:c>
      <x:c r="I212" s="84" t="str">
        <x:f>IF(OR(C212="",D212="",H212=""),"",IF(G212="Cancelled",0,IFERROR(D212*H212*VLOOKUP(C212,Inventory!$A$5:$E$104,5,FALSE),"")))</x:f>
      </x:c>
    </x:row>
    <x:row r="213">
      <x:c r="A213" s="44"/>
      <x:c r="B213" s="45"/>
      <x:c r="C213" s="45"/>
      <x:c r="D213" s="45"/>
      <x:c r="E213" s="78"/>
      <x:c r="F213" s="78"/>
      <x:c r="G213" s="45"/>
      <x:c r="H213" s="66" t="str">
        <x:f>IF(OR(E213="",F213=""),"",MAX(1,F213-E213+1))</x:f>
      </x:c>
      <x:c r="I213" s="84" t="str">
        <x:f>IF(OR(C213="",D213="",H213=""),"",IF(G213="Cancelled",0,IFERROR(D213*H213*VLOOKUP(C213,Inventory!$A$5:$E$104,5,FALSE),"")))</x:f>
      </x:c>
    </x:row>
    <x:row r="214">
      <x:c r="A214" s="44"/>
      <x:c r="B214" s="45"/>
      <x:c r="C214" s="45"/>
      <x:c r="D214" s="45"/>
      <x:c r="E214" s="78"/>
      <x:c r="F214" s="78"/>
      <x:c r="G214" s="45"/>
      <x:c r="H214" s="66" t="str">
        <x:f>IF(OR(E214="",F214=""),"",MAX(1,F214-E214+1))</x:f>
      </x:c>
      <x:c r="I214" s="84" t="str">
        <x:f>IF(OR(C214="",D214="",H214=""),"",IF(G214="Cancelled",0,IFERROR(D214*H214*VLOOKUP(C214,Inventory!$A$5:$E$104,5,FALSE),"")))</x:f>
      </x:c>
    </x:row>
    <x:row r="215">
      <x:c r="A215" s="44"/>
      <x:c r="B215" s="45"/>
      <x:c r="C215" s="45"/>
      <x:c r="D215" s="45"/>
      <x:c r="E215" s="78"/>
      <x:c r="F215" s="78"/>
      <x:c r="G215" s="45"/>
      <x:c r="H215" s="66" t="str">
        <x:f>IF(OR(E215="",F215=""),"",MAX(1,F215-E215+1))</x:f>
      </x:c>
      <x:c r="I215" s="84" t="str">
        <x:f>IF(OR(C215="",D215="",H215=""),"",IF(G215="Cancelled",0,IFERROR(D215*H215*VLOOKUP(C215,Inventory!$A$5:$E$104,5,FALSE),"")))</x:f>
      </x:c>
    </x:row>
    <x:row r="216">
      <x:c r="A216" s="44"/>
      <x:c r="B216" s="45"/>
      <x:c r="C216" s="45"/>
      <x:c r="D216" s="45"/>
      <x:c r="E216" s="78"/>
      <x:c r="F216" s="78"/>
      <x:c r="G216" s="45"/>
      <x:c r="H216" s="66" t="str">
        <x:f>IF(OR(E216="",F216=""),"",MAX(1,F216-E216+1))</x:f>
      </x:c>
      <x:c r="I216" s="84" t="str">
        <x:f>IF(OR(C216="",D216="",H216=""),"",IF(G216="Cancelled",0,IFERROR(D216*H216*VLOOKUP(C216,Inventory!$A$5:$E$104,5,FALSE),"")))</x:f>
      </x:c>
    </x:row>
    <x:row r="217">
      <x:c r="A217" s="44"/>
      <x:c r="B217" s="45"/>
      <x:c r="C217" s="45"/>
      <x:c r="D217" s="45"/>
      <x:c r="E217" s="78"/>
      <x:c r="F217" s="78"/>
      <x:c r="G217" s="45"/>
      <x:c r="H217" s="66" t="str">
        <x:f>IF(OR(E217="",F217=""),"",MAX(1,F217-E217+1))</x:f>
      </x:c>
      <x:c r="I217" s="84" t="str">
        <x:f>IF(OR(C217="",D217="",H217=""),"",IF(G217="Cancelled",0,IFERROR(D217*H217*VLOOKUP(C217,Inventory!$A$5:$E$104,5,FALSE),"")))</x:f>
      </x:c>
    </x:row>
    <x:row r="218">
      <x:c r="A218" s="44"/>
      <x:c r="B218" s="45"/>
      <x:c r="C218" s="45"/>
      <x:c r="D218" s="45"/>
      <x:c r="E218" s="78"/>
      <x:c r="F218" s="78"/>
      <x:c r="G218" s="45"/>
      <x:c r="H218" s="66" t="str">
        <x:f>IF(OR(E218="",F218=""),"",MAX(1,F218-E218+1))</x:f>
      </x:c>
      <x:c r="I218" s="84" t="str">
        <x:f>IF(OR(C218="",D218="",H218=""),"",IF(G218="Cancelled",0,IFERROR(D218*H218*VLOOKUP(C218,Inventory!$A$5:$E$104,5,FALSE),"")))</x:f>
      </x:c>
    </x:row>
    <x:row r="219">
      <x:c r="A219" s="44"/>
      <x:c r="B219" s="45"/>
      <x:c r="C219" s="45"/>
      <x:c r="D219" s="45"/>
      <x:c r="E219" s="78"/>
      <x:c r="F219" s="78"/>
      <x:c r="G219" s="45"/>
      <x:c r="H219" s="66" t="str">
        <x:f>IF(OR(E219="",F219=""),"",MAX(1,F219-E219+1))</x:f>
      </x:c>
      <x:c r="I219" s="84" t="str">
        <x:f>IF(OR(C219="",D219="",H219=""),"",IF(G219="Cancelled",0,IFERROR(D219*H219*VLOOKUP(C219,Inventory!$A$5:$E$104,5,FALSE),"")))</x:f>
      </x:c>
    </x:row>
    <x:row r="220">
      <x:c r="A220" s="44"/>
      <x:c r="B220" s="45"/>
      <x:c r="C220" s="45"/>
      <x:c r="D220" s="45"/>
      <x:c r="E220" s="78"/>
      <x:c r="F220" s="78"/>
      <x:c r="G220" s="45"/>
      <x:c r="H220" s="66" t="str">
        <x:f>IF(OR(E220="",F220=""),"",MAX(1,F220-E220+1))</x:f>
      </x:c>
      <x:c r="I220" s="84" t="str">
        <x:f>IF(OR(C220="",D220="",H220=""),"",IF(G220="Cancelled",0,IFERROR(D220*H220*VLOOKUP(C220,Inventory!$A$5:$E$104,5,FALSE),"")))</x:f>
      </x:c>
    </x:row>
    <x:row r="221">
      <x:c r="A221" s="44"/>
      <x:c r="B221" s="45"/>
      <x:c r="C221" s="45"/>
      <x:c r="D221" s="45"/>
      <x:c r="E221" s="78"/>
      <x:c r="F221" s="78"/>
      <x:c r="G221" s="45"/>
      <x:c r="H221" s="66" t="str">
        <x:f>IF(OR(E221="",F221=""),"",MAX(1,F221-E221+1))</x:f>
      </x:c>
      <x:c r="I221" s="84" t="str">
        <x:f>IF(OR(C221="",D221="",H221=""),"",IF(G221="Cancelled",0,IFERROR(D221*H221*VLOOKUP(C221,Inventory!$A$5:$E$104,5,FALSE),"")))</x:f>
      </x:c>
    </x:row>
    <x:row r="222">
      <x:c r="A222" s="44"/>
      <x:c r="B222" s="45"/>
      <x:c r="C222" s="45"/>
      <x:c r="D222" s="45"/>
      <x:c r="E222" s="78"/>
      <x:c r="F222" s="78"/>
      <x:c r="G222" s="45"/>
      <x:c r="H222" s="66" t="str">
        <x:f>IF(OR(E222="",F222=""),"",MAX(1,F222-E222+1))</x:f>
      </x:c>
      <x:c r="I222" s="84" t="str">
        <x:f>IF(OR(C222="",D222="",H222=""),"",IF(G222="Cancelled",0,IFERROR(D222*H222*VLOOKUP(C222,Inventory!$A$5:$E$104,5,FALSE),"")))</x:f>
      </x:c>
    </x:row>
    <x:row r="223">
      <x:c r="A223" s="44"/>
      <x:c r="B223" s="45"/>
      <x:c r="C223" s="45"/>
      <x:c r="D223" s="45"/>
      <x:c r="E223" s="78"/>
      <x:c r="F223" s="78"/>
      <x:c r="G223" s="45"/>
      <x:c r="H223" s="66" t="str">
        <x:f>IF(OR(E223="",F223=""),"",MAX(1,F223-E223+1))</x:f>
      </x:c>
      <x:c r="I223" s="84" t="str">
        <x:f>IF(OR(C223="",D223="",H223=""),"",IF(G223="Cancelled",0,IFERROR(D223*H223*VLOOKUP(C223,Inventory!$A$5:$E$104,5,FALSE),"")))</x:f>
      </x:c>
    </x:row>
    <x:row r="224">
      <x:c r="A224" s="44"/>
      <x:c r="B224" s="45"/>
      <x:c r="C224" s="45"/>
      <x:c r="D224" s="45"/>
      <x:c r="E224" s="78"/>
      <x:c r="F224" s="78"/>
      <x:c r="G224" s="45"/>
      <x:c r="H224" s="66" t="str">
        <x:f>IF(OR(E224="",F224=""),"",MAX(1,F224-E224+1))</x:f>
      </x:c>
      <x:c r="I224" s="84" t="str">
        <x:f>IF(OR(C224="",D224="",H224=""),"",IF(G224="Cancelled",0,IFERROR(D224*H224*VLOOKUP(C224,Inventory!$A$5:$E$104,5,FALSE),"")))</x:f>
      </x:c>
    </x:row>
    <x:row r="225">
      <x:c r="A225" s="44"/>
      <x:c r="B225" s="45"/>
      <x:c r="C225" s="45"/>
      <x:c r="D225" s="45"/>
      <x:c r="E225" s="78"/>
      <x:c r="F225" s="78"/>
      <x:c r="G225" s="45"/>
      <x:c r="H225" s="66" t="str">
        <x:f>IF(OR(E225="",F225=""),"",MAX(1,F225-E225+1))</x:f>
      </x:c>
      <x:c r="I225" s="84" t="str">
        <x:f>IF(OR(C225="",D225="",H225=""),"",IF(G225="Cancelled",0,IFERROR(D225*H225*VLOOKUP(C225,Inventory!$A$5:$E$104,5,FALSE),"")))</x:f>
      </x:c>
    </x:row>
    <x:row r="226">
      <x:c r="A226" s="44"/>
      <x:c r="B226" s="45"/>
      <x:c r="C226" s="45"/>
      <x:c r="D226" s="45"/>
      <x:c r="E226" s="78"/>
      <x:c r="F226" s="78"/>
      <x:c r="G226" s="45"/>
      <x:c r="H226" s="66" t="str">
        <x:f>IF(OR(E226="",F226=""),"",MAX(1,F226-E226+1))</x:f>
      </x:c>
      <x:c r="I226" s="84" t="str">
        <x:f>IF(OR(C226="",D226="",H226=""),"",IF(G226="Cancelled",0,IFERROR(D226*H226*VLOOKUP(C226,Inventory!$A$5:$E$104,5,FALSE),"")))</x:f>
      </x:c>
    </x:row>
    <x:row r="227">
      <x:c r="A227" s="44"/>
      <x:c r="B227" s="45"/>
      <x:c r="C227" s="45"/>
      <x:c r="D227" s="45"/>
      <x:c r="E227" s="78"/>
      <x:c r="F227" s="78"/>
      <x:c r="G227" s="45"/>
      <x:c r="H227" s="66" t="str">
        <x:f>IF(OR(E227="",F227=""),"",MAX(1,F227-E227+1))</x:f>
      </x:c>
      <x:c r="I227" s="84" t="str">
        <x:f>IF(OR(C227="",D227="",H227=""),"",IF(G227="Cancelled",0,IFERROR(D227*H227*VLOOKUP(C227,Inventory!$A$5:$E$104,5,FALSE),"")))</x:f>
      </x:c>
    </x:row>
    <x:row r="228">
      <x:c r="A228" s="44"/>
      <x:c r="B228" s="45"/>
      <x:c r="C228" s="45"/>
      <x:c r="D228" s="45"/>
      <x:c r="E228" s="78"/>
      <x:c r="F228" s="78"/>
      <x:c r="G228" s="45"/>
      <x:c r="H228" s="66" t="str">
        <x:f>IF(OR(E228="",F228=""),"",MAX(1,F228-E228+1))</x:f>
      </x:c>
      <x:c r="I228" s="84" t="str">
        <x:f>IF(OR(C228="",D228="",H228=""),"",IF(G228="Cancelled",0,IFERROR(D228*H228*VLOOKUP(C228,Inventory!$A$5:$E$104,5,FALSE),"")))</x:f>
      </x:c>
    </x:row>
    <x:row r="229">
      <x:c r="A229" s="44"/>
      <x:c r="B229" s="45"/>
      <x:c r="C229" s="45"/>
      <x:c r="D229" s="45"/>
      <x:c r="E229" s="78"/>
      <x:c r="F229" s="78"/>
      <x:c r="G229" s="45"/>
      <x:c r="H229" s="66" t="str">
        <x:f>IF(OR(E229="",F229=""),"",MAX(1,F229-E229+1))</x:f>
      </x:c>
      <x:c r="I229" s="84" t="str">
        <x:f>IF(OR(C229="",D229="",H229=""),"",IF(G229="Cancelled",0,IFERROR(D229*H229*VLOOKUP(C229,Inventory!$A$5:$E$104,5,FALSE),"")))</x:f>
      </x:c>
    </x:row>
    <x:row r="230">
      <x:c r="A230" s="44"/>
      <x:c r="B230" s="45"/>
      <x:c r="C230" s="45"/>
      <x:c r="D230" s="45"/>
      <x:c r="E230" s="78"/>
      <x:c r="F230" s="78"/>
      <x:c r="G230" s="45"/>
      <x:c r="H230" s="66" t="str">
        <x:f>IF(OR(E230="",F230=""),"",MAX(1,F230-E230+1))</x:f>
      </x:c>
      <x:c r="I230" s="84" t="str">
        <x:f>IF(OR(C230="",D230="",H230=""),"",IF(G230="Cancelled",0,IFERROR(D230*H230*VLOOKUP(C230,Inventory!$A$5:$E$104,5,FALSE),"")))</x:f>
      </x:c>
    </x:row>
    <x:row r="231">
      <x:c r="A231" s="44"/>
      <x:c r="B231" s="45"/>
      <x:c r="C231" s="45"/>
      <x:c r="D231" s="45"/>
      <x:c r="E231" s="78"/>
      <x:c r="F231" s="78"/>
      <x:c r="G231" s="45"/>
      <x:c r="H231" s="66" t="str">
        <x:f>IF(OR(E231="",F231=""),"",MAX(1,F231-E231+1))</x:f>
      </x:c>
      <x:c r="I231" s="84" t="str">
        <x:f>IF(OR(C231="",D231="",H231=""),"",IF(G231="Cancelled",0,IFERROR(D231*H231*VLOOKUP(C231,Inventory!$A$5:$E$104,5,FALSE),"")))</x:f>
      </x:c>
    </x:row>
    <x:row r="232">
      <x:c r="A232" s="44"/>
      <x:c r="B232" s="45"/>
      <x:c r="C232" s="45"/>
      <x:c r="D232" s="45"/>
      <x:c r="E232" s="78"/>
      <x:c r="F232" s="78"/>
      <x:c r="G232" s="45"/>
      <x:c r="H232" s="66" t="str">
        <x:f>IF(OR(E232="",F232=""),"",MAX(1,F232-E232+1))</x:f>
      </x:c>
      <x:c r="I232" s="84" t="str">
        <x:f>IF(OR(C232="",D232="",H232=""),"",IF(G232="Cancelled",0,IFERROR(D232*H232*VLOOKUP(C232,Inventory!$A$5:$E$104,5,FALSE),"")))</x:f>
      </x:c>
    </x:row>
    <x:row r="233">
      <x:c r="A233" s="44"/>
      <x:c r="B233" s="45"/>
      <x:c r="C233" s="45"/>
      <x:c r="D233" s="45"/>
      <x:c r="E233" s="78"/>
      <x:c r="F233" s="78"/>
      <x:c r="G233" s="45"/>
      <x:c r="H233" s="66" t="str">
        <x:f>IF(OR(E233="",F233=""),"",MAX(1,F233-E233+1))</x:f>
      </x:c>
      <x:c r="I233" s="84" t="str">
        <x:f>IF(OR(C233="",D233="",H233=""),"",IF(G233="Cancelled",0,IFERROR(D233*H233*VLOOKUP(C233,Inventory!$A$5:$E$104,5,FALSE),"")))</x:f>
      </x:c>
    </x:row>
    <x:row r="234">
      <x:c r="A234" s="44"/>
      <x:c r="B234" s="45"/>
      <x:c r="C234" s="45"/>
      <x:c r="D234" s="45"/>
      <x:c r="E234" s="78"/>
      <x:c r="F234" s="78"/>
      <x:c r="G234" s="45"/>
      <x:c r="H234" s="66" t="str">
        <x:f>IF(OR(E234="",F234=""),"",MAX(1,F234-E234+1))</x:f>
      </x:c>
      <x:c r="I234" s="84" t="str">
        <x:f>IF(OR(C234="",D234="",H234=""),"",IF(G234="Cancelled",0,IFERROR(D234*H234*VLOOKUP(C234,Inventory!$A$5:$E$104,5,FALSE),"")))</x:f>
      </x:c>
    </x:row>
    <x:row r="235">
      <x:c r="A235" s="44"/>
      <x:c r="B235" s="45"/>
      <x:c r="C235" s="45"/>
      <x:c r="D235" s="45"/>
      <x:c r="E235" s="78"/>
      <x:c r="F235" s="78"/>
      <x:c r="G235" s="45"/>
      <x:c r="H235" s="66" t="str">
        <x:f>IF(OR(E235="",F235=""),"",MAX(1,F235-E235+1))</x:f>
      </x:c>
      <x:c r="I235" s="84" t="str">
        <x:f>IF(OR(C235="",D235="",H235=""),"",IF(G235="Cancelled",0,IFERROR(D235*H235*VLOOKUP(C235,Inventory!$A$5:$E$104,5,FALSE),"")))</x:f>
      </x:c>
    </x:row>
    <x:row r="236">
      <x:c r="A236" s="44"/>
      <x:c r="B236" s="45"/>
      <x:c r="C236" s="45"/>
      <x:c r="D236" s="45"/>
      <x:c r="E236" s="78"/>
      <x:c r="F236" s="78"/>
      <x:c r="G236" s="45"/>
      <x:c r="H236" s="66" t="str">
        <x:f>IF(OR(E236="",F236=""),"",MAX(1,F236-E236+1))</x:f>
      </x:c>
      <x:c r="I236" s="84" t="str">
        <x:f>IF(OR(C236="",D236="",H236=""),"",IF(G236="Cancelled",0,IFERROR(D236*H236*VLOOKUP(C236,Inventory!$A$5:$E$104,5,FALSE),"")))</x:f>
      </x:c>
    </x:row>
    <x:row r="237">
      <x:c r="A237" s="44"/>
      <x:c r="B237" s="45"/>
      <x:c r="C237" s="45"/>
      <x:c r="D237" s="45"/>
      <x:c r="E237" s="78"/>
      <x:c r="F237" s="78"/>
      <x:c r="G237" s="45"/>
      <x:c r="H237" s="66" t="str">
        <x:f>IF(OR(E237="",F237=""),"",MAX(1,F237-E237+1))</x:f>
      </x:c>
      <x:c r="I237" s="84" t="str">
        <x:f>IF(OR(C237="",D237="",H237=""),"",IF(G237="Cancelled",0,IFERROR(D237*H237*VLOOKUP(C237,Inventory!$A$5:$E$104,5,FALSE),"")))</x:f>
      </x:c>
    </x:row>
    <x:row r="238">
      <x:c r="A238" s="44"/>
      <x:c r="B238" s="45"/>
      <x:c r="C238" s="45"/>
      <x:c r="D238" s="45"/>
      <x:c r="E238" s="78"/>
      <x:c r="F238" s="78"/>
      <x:c r="G238" s="45"/>
      <x:c r="H238" s="66" t="str">
        <x:f>IF(OR(E238="",F238=""),"",MAX(1,F238-E238+1))</x:f>
      </x:c>
      <x:c r="I238" s="84" t="str">
        <x:f>IF(OR(C238="",D238="",H238=""),"",IF(G238="Cancelled",0,IFERROR(D238*H238*VLOOKUP(C238,Inventory!$A$5:$E$104,5,FALSE),"")))</x:f>
      </x:c>
    </x:row>
    <x:row r="239">
      <x:c r="A239" s="44"/>
      <x:c r="B239" s="45"/>
      <x:c r="C239" s="45"/>
      <x:c r="D239" s="45"/>
      <x:c r="E239" s="78"/>
      <x:c r="F239" s="78"/>
      <x:c r="G239" s="45"/>
      <x:c r="H239" s="66" t="str">
        <x:f>IF(OR(E239="",F239=""),"",MAX(1,F239-E239+1))</x:f>
      </x:c>
      <x:c r="I239" s="84" t="str">
        <x:f>IF(OR(C239="",D239="",H239=""),"",IF(G239="Cancelled",0,IFERROR(D239*H239*VLOOKUP(C239,Inventory!$A$5:$E$104,5,FALSE),"")))</x:f>
      </x:c>
    </x:row>
    <x:row r="240">
      <x:c r="A240" s="44"/>
      <x:c r="B240" s="45"/>
      <x:c r="C240" s="45"/>
      <x:c r="D240" s="45"/>
      <x:c r="E240" s="78"/>
      <x:c r="F240" s="78"/>
      <x:c r="G240" s="45"/>
      <x:c r="H240" s="66" t="str">
        <x:f>IF(OR(E240="",F240=""),"",MAX(1,F240-E240+1))</x:f>
      </x:c>
      <x:c r="I240" s="84" t="str">
        <x:f>IF(OR(C240="",D240="",H240=""),"",IF(G240="Cancelled",0,IFERROR(D240*H240*VLOOKUP(C240,Inventory!$A$5:$E$104,5,FALSE),"")))</x:f>
      </x:c>
    </x:row>
    <x:row r="241">
      <x:c r="A241" s="44"/>
      <x:c r="B241" s="45"/>
      <x:c r="C241" s="45"/>
      <x:c r="D241" s="45"/>
      <x:c r="E241" s="78"/>
      <x:c r="F241" s="78"/>
      <x:c r="G241" s="45"/>
      <x:c r="H241" s="66" t="str">
        <x:f>IF(OR(E241="",F241=""),"",MAX(1,F241-E241+1))</x:f>
      </x:c>
      <x:c r="I241" s="84" t="str">
        <x:f>IF(OR(C241="",D241="",H241=""),"",IF(G241="Cancelled",0,IFERROR(D241*H241*VLOOKUP(C241,Inventory!$A$5:$E$104,5,FALSE),"")))</x:f>
      </x:c>
    </x:row>
    <x:row r="242">
      <x:c r="A242" s="44"/>
      <x:c r="B242" s="45"/>
      <x:c r="C242" s="45"/>
      <x:c r="D242" s="45"/>
      <x:c r="E242" s="78"/>
      <x:c r="F242" s="78"/>
      <x:c r="G242" s="45"/>
      <x:c r="H242" s="66" t="str">
        <x:f>IF(OR(E242="",F242=""),"",MAX(1,F242-E242+1))</x:f>
      </x:c>
      <x:c r="I242" s="84" t="str">
        <x:f>IF(OR(C242="",D242="",H242=""),"",IF(G242="Cancelled",0,IFERROR(D242*H242*VLOOKUP(C242,Inventory!$A$5:$E$104,5,FALSE),"")))</x:f>
      </x:c>
    </x:row>
    <x:row r="243">
      <x:c r="A243" s="44"/>
      <x:c r="B243" s="45"/>
      <x:c r="C243" s="45"/>
      <x:c r="D243" s="45"/>
      <x:c r="E243" s="78"/>
      <x:c r="F243" s="78"/>
      <x:c r="G243" s="45"/>
      <x:c r="H243" s="66" t="str">
        <x:f>IF(OR(E243="",F243=""),"",MAX(1,F243-E243+1))</x:f>
      </x:c>
      <x:c r="I243" s="84" t="str">
        <x:f>IF(OR(C243="",D243="",H243=""),"",IF(G243="Cancelled",0,IFERROR(D243*H243*VLOOKUP(C243,Inventory!$A$5:$E$104,5,FALSE),"")))</x:f>
      </x:c>
    </x:row>
    <x:row r="244">
      <x:c r="A244" s="44"/>
      <x:c r="B244" s="45"/>
      <x:c r="C244" s="45"/>
      <x:c r="D244" s="45"/>
      <x:c r="E244" s="78"/>
      <x:c r="F244" s="78"/>
      <x:c r="G244" s="45"/>
      <x:c r="H244" s="66" t="str">
        <x:f>IF(OR(E244="",F244=""),"",MAX(1,F244-E244+1))</x:f>
      </x:c>
      <x:c r="I244" s="84" t="str">
        <x:f>IF(OR(C244="",D244="",H244=""),"",IF(G244="Cancelled",0,IFERROR(D244*H244*VLOOKUP(C244,Inventory!$A$5:$E$104,5,FALSE),"")))</x:f>
      </x:c>
    </x:row>
    <x:row r="245">
      <x:c r="A245" s="44"/>
      <x:c r="B245" s="45"/>
      <x:c r="C245" s="45"/>
      <x:c r="D245" s="45"/>
      <x:c r="E245" s="78"/>
      <x:c r="F245" s="78"/>
      <x:c r="G245" s="45"/>
      <x:c r="H245" s="66" t="str">
        <x:f>IF(OR(E245="",F245=""),"",MAX(1,F245-E245+1))</x:f>
      </x:c>
      <x:c r="I245" s="84" t="str">
        <x:f>IF(OR(C245="",D245="",H245=""),"",IF(G245="Cancelled",0,IFERROR(D245*H245*VLOOKUP(C245,Inventory!$A$5:$E$104,5,FALSE),"")))</x:f>
      </x:c>
    </x:row>
    <x:row r="246">
      <x:c r="A246" s="44"/>
      <x:c r="B246" s="45"/>
      <x:c r="C246" s="45"/>
      <x:c r="D246" s="45"/>
      <x:c r="E246" s="78"/>
      <x:c r="F246" s="78"/>
      <x:c r="G246" s="45"/>
      <x:c r="H246" s="66" t="str">
        <x:f>IF(OR(E246="",F246=""),"",MAX(1,F246-E246+1))</x:f>
      </x:c>
      <x:c r="I246" s="84" t="str">
        <x:f>IF(OR(C246="",D246="",H246=""),"",IF(G246="Cancelled",0,IFERROR(D246*H246*VLOOKUP(C246,Inventory!$A$5:$E$104,5,FALSE),"")))</x:f>
      </x:c>
    </x:row>
    <x:row r="247">
      <x:c r="A247" s="44"/>
      <x:c r="B247" s="45"/>
      <x:c r="C247" s="45"/>
      <x:c r="D247" s="45"/>
      <x:c r="E247" s="78"/>
      <x:c r="F247" s="78"/>
      <x:c r="G247" s="45"/>
      <x:c r="H247" s="66" t="str">
        <x:f>IF(OR(E247="",F247=""),"",MAX(1,F247-E247+1))</x:f>
      </x:c>
      <x:c r="I247" s="84" t="str">
        <x:f>IF(OR(C247="",D247="",H247=""),"",IF(G247="Cancelled",0,IFERROR(D247*H247*VLOOKUP(C247,Inventory!$A$5:$E$104,5,FALSE),"")))</x:f>
      </x:c>
    </x:row>
    <x:row r="248">
      <x:c r="A248" s="44"/>
      <x:c r="B248" s="45"/>
      <x:c r="C248" s="45"/>
      <x:c r="D248" s="45"/>
      <x:c r="E248" s="78"/>
      <x:c r="F248" s="78"/>
      <x:c r="G248" s="45"/>
      <x:c r="H248" s="66" t="str">
        <x:f>IF(OR(E248="",F248=""),"",MAX(1,F248-E248+1))</x:f>
      </x:c>
      <x:c r="I248" s="84" t="str">
        <x:f>IF(OR(C248="",D248="",H248=""),"",IF(G248="Cancelled",0,IFERROR(D248*H248*VLOOKUP(C248,Inventory!$A$5:$E$104,5,FALSE),"")))</x:f>
      </x:c>
    </x:row>
    <x:row r="249">
      <x:c r="A249" s="44"/>
      <x:c r="B249" s="45"/>
      <x:c r="C249" s="45"/>
      <x:c r="D249" s="45"/>
      <x:c r="E249" s="78"/>
      <x:c r="F249" s="78"/>
      <x:c r="G249" s="45"/>
      <x:c r="H249" s="66" t="str">
        <x:f>IF(OR(E249="",F249=""),"",MAX(1,F249-E249+1))</x:f>
      </x:c>
      <x:c r="I249" s="84" t="str">
        <x:f>IF(OR(C249="",D249="",H249=""),"",IF(G249="Cancelled",0,IFERROR(D249*H249*VLOOKUP(C249,Inventory!$A$5:$E$104,5,FALSE),"")))</x:f>
      </x:c>
    </x:row>
    <x:row r="250">
      <x:c r="A250" s="44"/>
      <x:c r="B250" s="45"/>
      <x:c r="C250" s="45"/>
      <x:c r="D250" s="45"/>
      <x:c r="E250" s="78"/>
      <x:c r="F250" s="78"/>
      <x:c r="G250" s="45"/>
      <x:c r="H250" s="66" t="str">
        <x:f>IF(OR(E250="",F250=""),"",MAX(1,F250-E250+1))</x:f>
      </x:c>
      <x:c r="I250" s="84" t="str">
        <x:f>IF(OR(C250="",D250="",H250=""),"",IF(G250="Cancelled",0,IFERROR(D250*H250*VLOOKUP(C250,Inventory!$A$5:$E$104,5,FALSE),"")))</x:f>
      </x:c>
    </x:row>
    <x:row r="251">
      <x:c r="A251" s="44"/>
      <x:c r="B251" s="45"/>
      <x:c r="C251" s="45"/>
      <x:c r="D251" s="45"/>
      <x:c r="E251" s="78"/>
      <x:c r="F251" s="78"/>
      <x:c r="G251" s="45"/>
      <x:c r="H251" s="66" t="str">
        <x:f>IF(OR(E251="",F251=""),"",MAX(1,F251-E251+1))</x:f>
      </x:c>
      <x:c r="I251" s="84" t="str">
        <x:f>IF(OR(C251="",D251="",H251=""),"",IF(G251="Cancelled",0,IFERROR(D251*H251*VLOOKUP(C251,Inventory!$A$5:$E$104,5,FALSE),"")))</x:f>
      </x:c>
    </x:row>
    <x:row r="252">
      <x:c r="A252" s="44"/>
      <x:c r="B252" s="45"/>
      <x:c r="C252" s="45"/>
      <x:c r="D252" s="45"/>
      <x:c r="E252" s="78"/>
      <x:c r="F252" s="78"/>
      <x:c r="G252" s="45"/>
      <x:c r="H252" s="66" t="str">
        <x:f>IF(OR(E252="",F252=""),"",MAX(1,F252-E252+1))</x:f>
      </x:c>
      <x:c r="I252" s="84" t="str">
        <x:f>IF(OR(C252="",D252="",H252=""),"",IF(G252="Cancelled",0,IFERROR(D252*H252*VLOOKUP(C252,Inventory!$A$5:$E$104,5,FALSE),"")))</x:f>
      </x:c>
    </x:row>
    <x:row r="253">
      <x:c r="A253" s="44"/>
      <x:c r="B253" s="45"/>
      <x:c r="C253" s="45"/>
      <x:c r="D253" s="45"/>
      <x:c r="E253" s="78"/>
      <x:c r="F253" s="78"/>
      <x:c r="G253" s="45"/>
      <x:c r="H253" s="66" t="str">
        <x:f>IF(OR(E253="",F253=""),"",MAX(1,F253-E253+1))</x:f>
      </x:c>
      <x:c r="I253" s="84" t="str">
        <x:f>IF(OR(C253="",D253="",H253=""),"",IF(G253="Cancelled",0,IFERROR(D253*H253*VLOOKUP(C253,Inventory!$A$5:$E$104,5,FALSE),"")))</x:f>
      </x:c>
    </x:row>
    <x:row r="254">
      <x:c r="A254" s="44"/>
      <x:c r="B254" s="45"/>
      <x:c r="C254" s="45"/>
      <x:c r="D254" s="45"/>
      <x:c r="E254" s="78"/>
      <x:c r="F254" s="78"/>
      <x:c r="G254" s="45"/>
      <x:c r="H254" s="66" t="str">
        <x:f>IF(OR(E254="",F254=""),"",MAX(1,F254-E254+1))</x:f>
      </x:c>
      <x:c r="I254" s="84" t="str">
        <x:f>IF(OR(C254="",D254="",H254=""),"",IF(G254="Cancelled",0,IFERROR(D254*H254*VLOOKUP(C254,Inventory!$A$5:$E$104,5,FALSE),"")))</x:f>
      </x:c>
    </x:row>
    <x:row r="255">
      <x:c r="A255" s="44"/>
      <x:c r="B255" s="45"/>
      <x:c r="C255" s="45"/>
      <x:c r="D255" s="45"/>
      <x:c r="E255" s="78"/>
      <x:c r="F255" s="78"/>
      <x:c r="G255" s="45"/>
      <x:c r="H255" s="66" t="str">
        <x:f>IF(OR(E255="",F255=""),"",MAX(1,F255-E255+1))</x:f>
      </x:c>
      <x:c r="I255" s="84" t="str">
        <x:f>IF(OR(C255="",D255="",H255=""),"",IF(G255="Cancelled",0,IFERROR(D255*H255*VLOOKUP(C255,Inventory!$A$5:$E$104,5,FALSE),"")))</x:f>
      </x:c>
    </x:row>
    <x:row r="256">
      <x:c r="A256" s="44"/>
      <x:c r="B256" s="45"/>
      <x:c r="C256" s="45"/>
      <x:c r="D256" s="45"/>
      <x:c r="E256" s="78"/>
      <x:c r="F256" s="78"/>
      <x:c r="G256" s="45"/>
      <x:c r="H256" s="66" t="str">
        <x:f>IF(OR(E256="",F256=""),"",MAX(1,F256-E256+1))</x:f>
      </x:c>
      <x:c r="I256" s="84" t="str">
        <x:f>IF(OR(C256="",D256="",H256=""),"",IF(G256="Cancelled",0,IFERROR(D256*H256*VLOOKUP(C256,Inventory!$A$5:$E$104,5,FALSE),"")))</x:f>
      </x:c>
    </x:row>
    <x:row r="257">
      <x:c r="A257" s="44"/>
      <x:c r="B257" s="45"/>
      <x:c r="C257" s="45"/>
      <x:c r="D257" s="45"/>
      <x:c r="E257" s="78"/>
      <x:c r="F257" s="78"/>
      <x:c r="G257" s="45"/>
      <x:c r="H257" s="66" t="str">
        <x:f>IF(OR(E257="",F257=""),"",MAX(1,F257-E257+1))</x:f>
      </x:c>
      <x:c r="I257" s="84" t="str">
        <x:f>IF(OR(C257="",D257="",H257=""),"",IF(G257="Cancelled",0,IFERROR(D257*H257*VLOOKUP(C257,Inventory!$A$5:$E$104,5,FALSE),"")))</x:f>
      </x:c>
    </x:row>
    <x:row r="258">
      <x:c r="A258" s="44"/>
      <x:c r="B258" s="45"/>
      <x:c r="C258" s="45"/>
      <x:c r="D258" s="45"/>
      <x:c r="E258" s="78"/>
      <x:c r="F258" s="78"/>
      <x:c r="G258" s="45"/>
      <x:c r="H258" s="66" t="str">
        <x:f>IF(OR(E258="",F258=""),"",MAX(1,F258-E258+1))</x:f>
      </x:c>
      <x:c r="I258" s="84" t="str">
        <x:f>IF(OR(C258="",D258="",H258=""),"",IF(G258="Cancelled",0,IFERROR(D258*H258*VLOOKUP(C258,Inventory!$A$5:$E$104,5,FALSE),"")))</x:f>
      </x:c>
    </x:row>
    <x:row r="259">
      <x:c r="A259" s="44"/>
      <x:c r="B259" s="45"/>
      <x:c r="C259" s="45"/>
      <x:c r="D259" s="45"/>
      <x:c r="E259" s="78"/>
      <x:c r="F259" s="78"/>
      <x:c r="G259" s="45"/>
      <x:c r="H259" s="66" t="str">
        <x:f>IF(OR(E259="",F259=""),"",MAX(1,F259-E259+1))</x:f>
      </x:c>
      <x:c r="I259" s="84" t="str">
        <x:f>IF(OR(C259="",D259="",H259=""),"",IF(G259="Cancelled",0,IFERROR(D259*H259*VLOOKUP(C259,Inventory!$A$5:$E$104,5,FALSE),"")))</x:f>
      </x:c>
    </x:row>
    <x:row r="260">
      <x:c r="A260" s="44"/>
      <x:c r="B260" s="45"/>
      <x:c r="C260" s="45"/>
      <x:c r="D260" s="45"/>
      <x:c r="E260" s="78"/>
      <x:c r="F260" s="78"/>
      <x:c r="G260" s="45"/>
      <x:c r="H260" s="66" t="str">
        <x:f>IF(OR(E260="",F260=""),"",MAX(1,F260-E260+1))</x:f>
      </x:c>
      <x:c r="I260" s="84" t="str">
        <x:f>IF(OR(C260="",D260="",H260=""),"",IF(G260="Cancelled",0,IFERROR(D260*H260*VLOOKUP(C260,Inventory!$A$5:$E$104,5,FALSE),"")))</x:f>
      </x:c>
    </x:row>
    <x:row r="261">
      <x:c r="A261" s="44"/>
      <x:c r="B261" s="45"/>
      <x:c r="C261" s="45"/>
      <x:c r="D261" s="45"/>
      <x:c r="E261" s="78"/>
      <x:c r="F261" s="78"/>
      <x:c r="G261" s="45"/>
      <x:c r="H261" s="66" t="str">
        <x:f>IF(OR(E261="",F261=""),"",MAX(1,F261-E261+1))</x:f>
      </x:c>
      <x:c r="I261" s="84" t="str">
        <x:f>IF(OR(C261="",D261="",H261=""),"",IF(G261="Cancelled",0,IFERROR(D261*H261*VLOOKUP(C261,Inventory!$A$5:$E$104,5,FALSE),"")))</x:f>
      </x:c>
    </x:row>
    <x:row r="262">
      <x:c r="A262" s="44"/>
      <x:c r="B262" s="45"/>
      <x:c r="C262" s="45"/>
      <x:c r="D262" s="45"/>
      <x:c r="E262" s="78"/>
      <x:c r="F262" s="78"/>
      <x:c r="G262" s="45"/>
      <x:c r="H262" s="66" t="str">
        <x:f>IF(OR(E262="",F262=""),"",MAX(1,F262-E262+1))</x:f>
      </x:c>
      <x:c r="I262" s="84" t="str">
        <x:f>IF(OR(C262="",D262="",H262=""),"",IF(G262="Cancelled",0,IFERROR(D262*H262*VLOOKUP(C262,Inventory!$A$5:$E$104,5,FALSE),"")))</x:f>
      </x:c>
    </x:row>
    <x:row r="263">
      <x:c r="A263" s="44"/>
      <x:c r="B263" s="45"/>
      <x:c r="C263" s="45"/>
      <x:c r="D263" s="45"/>
      <x:c r="E263" s="78"/>
      <x:c r="F263" s="78"/>
      <x:c r="G263" s="45"/>
      <x:c r="H263" s="66" t="str">
        <x:f>IF(OR(E263="",F263=""),"",MAX(1,F263-E263+1))</x:f>
      </x:c>
      <x:c r="I263" s="84" t="str">
        <x:f>IF(OR(C263="",D263="",H263=""),"",IF(G263="Cancelled",0,IFERROR(D263*H263*VLOOKUP(C263,Inventory!$A$5:$E$104,5,FALSE),"")))</x:f>
      </x:c>
    </x:row>
    <x:row r="264">
      <x:c r="A264" s="44"/>
      <x:c r="B264" s="45"/>
      <x:c r="C264" s="45"/>
      <x:c r="D264" s="45"/>
      <x:c r="E264" s="78"/>
      <x:c r="F264" s="78"/>
      <x:c r="G264" s="45"/>
      <x:c r="H264" s="66" t="str">
        <x:f>IF(OR(E264="",F264=""),"",MAX(1,F264-E264+1))</x:f>
      </x:c>
      <x:c r="I264" s="84" t="str">
        <x:f>IF(OR(C264="",D264="",H264=""),"",IF(G264="Cancelled",0,IFERROR(D264*H264*VLOOKUP(C264,Inventory!$A$5:$E$104,5,FALSE),"")))</x:f>
      </x:c>
    </x:row>
    <x:row r="265">
      <x:c r="A265" s="44"/>
      <x:c r="B265" s="45"/>
      <x:c r="C265" s="45"/>
      <x:c r="D265" s="45"/>
      <x:c r="E265" s="78"/>
      <x:c r="F265" s="78"/>
      <x:c r="G265" s="45"/>
      <x:c r="H265" s="66" t="str">
        <x:f>IF(OR(E265="",F265=""),"",MAX(1,F265-E265+1))</x:f>
      </x:c>
      <x:c r="I265" s="84" t="str">
        <x:f>IF(OR(C265="",D265="",H265=""),"",IF(G265="Cancelled",0,IFERROR(D265*H265*VLOOKUP(C265,Inventory!$A$5:$E$104,5,FALSE),"")))</x:f>
      </x:c>
    </x:row>
    <x:row r="266">
      <x:c r="A266" s="44"/>
      <x:c r="B266" s="45"/>
      <x:c r="C266" s="45"/>
      <x:c r="D266" s="45"/>
      <x:c r="E266" s="78"/>
      <x:c r="F266" s="78"/>
      <x:c r="G266" s="45"/>
      <x:c r="H266" s="66" t="str">
        <x:f>IF(OR(E266="",F266=""),"",MAX(1,F266-E266+1))</x:f>
      </x:c>
      <x:c r="I266" s="84" t="str">
        <x:f>IF(OR(C266="",D266="",H266=""),"",IF(G266="Cancelled",0,IFERROR(D266*H266*VLOOKUP(C266,Inventory!$A$5:$E$104,5,FALSE),"")))</x:f>
      </x:c>
    </x:row>
    <x:row r="267">
      <x:c r="A267" s="44"/>
      <x:c r="B267" s="45"/>
      <x:c r="C267" s="45"/>
      <x:c r="D267" s="45"/>
      <x:c r="E267" s="78"/>
      <x:c r="F267" s="78"/>
      <x:c r="G267" s="45"/>
      <x:c r="H267" s="66" t="str">
        <x:f>IF(OR(E267="",F267=""),"",MAX(1,F267-E267+1))</x:f>
      </x:c>
      <x:c r="I267" s="84" t="str">
        <x:f>IF(OR(C267="",D267="",H267=""),"",IF(G267="Cancelled",0,IFERROR(D267*H267*VLOOKUP(C267,Inventory!$A$5:$E$104,5,FALSE),"")))</x:f>
      </x:c>
    </x:row>
    <x:row r="268">
      <x:c r="A268" s="44"/>
      <x:c r="B268" s="45"/>
      <x:c r="C268" s="45"/>
      <x:c r="D268" s="45"/>
      <x:c r="E268" s="78"/>
      <x:c r="F268" s="78"/>
      <x:c r="G268" s="45"/>
      <x:c r="H268" s="66" t="str">
        <x:f>IF(OR(E268="",F268=""),"",MAX(1,F268-E268+1))</x:f>
      </x:c>
      <x:c r="I268" s="84" t="str">
        <x:f>IF(OR(C268="",D268="",H268=""),"",IF(G268="Cancelled",0,IFERROR(D268*H268*VLOOKUP(C268,Inventory!$A$5:$E$104,5,FALSE),"")))</x:f>
      </x:c>
    </x:row>
    <x:row r="269">
      <x:c r="A269" s="44"/>
      <x:c r="B269" s="45"/>
      <x:c r="C269" s="45"/>
      <x:c r="D269" s="45"/>
      <x:c r="E269" s="78"/>
      <x:c r="F269" s="78"/>
      <x:c r="G269" s="45"/>
      <x:c r="H269" s="66" t="str">
        <x:f>IF(OR(E269="",F269=""),"",MAX(1,F269-E269+1))</x:f>
      </x:c>
      <x:c r="I269" s="84" t="str">
        <x:f>IF(OR(C269="",D269="",H269=""),"",IF(G269="Cancelled",0,IFERROR(D269*H269*VLOOKUP(C269,Inventory!$A$5:$E$104,5,FALSE),"")))</x:f>
      </x:c>
    </x:row>
    <x:row r="270">
      <x:c r="A270" s="44"/>
      <x:c r="B270" s="45"/>
      <x:c r="C270" s="45"/>
      <x:c r="D270" s="45"/>
      <x:c r="E270" s="78"/>
      <x:c r="F270" s="78"/>
      <x:c r="G270" s="45"/>
      <x:c r="H270" s="66" t="str">
        <x:f>IF(OR(E270="",F270=""),"",MAX(1,F270-E270+1))</x:f>
      </x:c>
      <x:c r="I270" s="84" t="str">
        <x:f>IF(OR(C270="",D270="",H270=""),"",IF(G270="Cancelled",0,IFERROR(D270*H270*VLOOKUP(C270,Inventory!$A$5:$E$104,5,FALSE),"")))</x:f>
      </x:c>
    </x:row>
    <x:row r="271">
      <x:c r="A271" s="44"/>
      <x:c r="B271" s="45"/>
      <x:c r="C271" s="45"/>
      <x:c r="D271" s="45"/>
      <x:c r="E271" s="78"/>
      <x:c r="F271" s="78"/>
      <x:c r="G271" s="45"/>
      <x:c r="H271" s="66" t="str">
        <x:f>IF(OR(E271="",F271=""),"",MAX(1,F271-E271+1))</x:f>
      </x:c>
      <x:c r="I271" s="84" t="str">
        <x:f>IF(OR(C271="",D271="",H271=""),"",IF(G271="Cancelled",0,IFERROR(D271*H271*VLOOKUP(C271,Inventory!$A$5:$E$104,5,FALSE),"")))</x:f>
      </x:c>
    </x:row>
    <x:row r="272">
      <x:c r="A272" s="44"/>
      <x:c r="B272" s="45"/>
      <x:c r="C272" s="45"/>
      <x:c r="D272" s="45"/>
      <x:c r="E272" s="78"/>
      <x:c r="F272" s="78"/>
      <x:c r="G272" s="45"/>
      <x:c r="H272" s="66" t="str">
        <x:f>IF(OR(E272="",F272=""),"",MAX(1,F272-E272+1))</x:f>
      </x:c>
      <x:c r="I272" s="84" t="str">
        <x:f>IF(OR(C272="",D272="",H272=""),"",IF(G272="Cancelled",0,IFERROR(D272*H272*VLOOKUP(C272,Inventory!$A$5:$E$104,5,FALSE),"")))</x:f>
      </x:c>
    </x:row>
    <x:row r="273">
      <x:c r="A273" s="44"/>
      <x:c r="B273" s="45"/>
      <x:c r="C273" s="45"/>
      <x:c r="D273" s="45"/>
      <x:c r="E273" s="78"/>
      <x:c r="F273" s="78"/>
      <x:c r="G273" s="45"/>
      <x:c r="H273" s="66" t="str">
        <x:f>IF(OR(E273="",F273=""),"",MAX(1,F273-E273+1))</x:f>
      </x:c>
      <x:c r="I273" s="84" t="str">
        <x:f>IF(OR(C273="",D273="",H273=""),"",IF(G273="Cancelled",0,IFERROR(D273*H273*VLOOKUP(C273,Inventory!$A$5:$E$104,5,FALSE),"")))</x:f>
      </x:c>
    </x:row>
    <x:row r="274">
      <x:c r="A274" s="44"/>
      <x:c r="B274" s="45"/>
      <x:c r="C274" s="45"/>
      <x:c r="D274" s="45"/>
      <x:c r="E274" s="78"/>
      <x:c r="F274" s="78"/>
      <x:c r="G274" s="45"/>
      <x:c r="H274" s="66" t="str">
        <x:f>IF(OR(E274="",F274=""),"",MAX(1,F274-E274+1))</x:f>
      </x:c>
      <x:c r="I274" s="84" t="str">
        <x:f>IF(OR(C274="",D274="",H274=""),"",IF(G274="Cancelled",0,IFERROR(D274*H274*VLOOKUP(C274,Inventory!$A$5:$E$104,5,FALSE),"")))</x:f>
      </x:c>
    </x:row>
    <x:row r="275">
      <x:c r="A275" s="44"/>
      <x:c r="B275" s="45"/>
      <x:c r="C275" s="45"/>
      <x:c r="D275" s="45"/>
      <x:c r="E275" s="78"/>
      <x:c r="F275" s="78"/>
      <x:c r="G275" s="45"/>
      <x:c r="H275" s="66" t="str">
        <x:f>IF(OR(E275="",F275=""),"",MAX(1,F275-E275+1))</x:f>
      </x:c>
      <x:c r="I275" s="84" t="str">
        <x:f>IF(OR(C275="",D275="",H275=""),"",IF(G275="Cancelled",0,IFERROR(D275*H275*VLOOKUP(C275,Inventory!$A$5:$E$104,5,FALSE),"")))</x:f>
      </x:c>
    </x:row>
    <x:row r="276">
      <x:c r="A276" s="44"/>
      <x:c r="B276" s="45"/>
      <x:c r="C276" s="45"/>
      <x:c r="D276" s="45"/>
      <x:c r="E276" s="78"/>
      <x:c r="F276" s="78"/>
      <x:c r="G276" s="45"/>
      <x:c r="H276" s="66" t="str">
        <x:f>IF(OR(E276="",F276=""),"",MAX(1,F276-E276+1))</x:f>
      </x:c>
      <x:c r="I276" s="84" t="str">
        <x:f>IF(OR(C276="",D276="",H276=""),"",IF(G276="Cancelled",0,IFERROR(D276*H276*VLOOKUP(C276,Inventory!$A$5:$E$104,5,FALSE),"")))</x:f>
      </x:c>
    </x:row>
    <x:row r="277">
      <x:c r="A277" s="44"/>
      <x:c r="B277" s="45"/>
      <x:c r="C277" s="45"/>
      <x:c r="D277" s="45"/>
      <x:c r="E277" s="78"/>
      <x:c r="F277" s="78"/>
      <x:c r="G277" s="45"/>
      <x:c r="H277" s="66" t="str">
        <x:f>IF(OR(E277="",F277=""),"",MAX(1,F277-E277+1))</x:f>
      </x:c>
      <x:c r="I277" s="84" t="str">
        <x:f>IF(OR(C277="",D277="",H277=""),"",IF(G277="Cancelled",0,IFERROR(D277*H277*VLOOKUP(C277,Inventory!$A$5:$E$104,5,FALSE),"")))</x:f>
      </x:c>
    </x:row>
    <x:row r="278">
      <x:c r="A278" s="44"/>
      <x:c r="B278" s="45"/>
      <x:c r="C278" s="45"/>
      <x:c r="D278" s="45"/>
      <x:c r="E278" s="78"/>
      <x:c r="F278" s="78"/>
      <x:c r="G278" s="45"/>
      <x:c r="H278" s="66" t="str">
        <x:f>IF(OR(E278="",F278=""),"",MAX(1,F278-E278+1))</x:f>
      </x:c>
      <x:c r="I278" s="84" t="str">
        <x:f>IF(OR(C278="",D278="",H278=""),"",IF(G278="Cancelled",0,IFERROR(D278*H278*VLOOKUP(C278,Inventory!$A$5:$E$104,5,FALSE),"")))</x:f>
      </x:c>
    </x:row>
    <x:row r="279">
      <x:c r="A279" s="44"/>
      <x:c r="B279" s="45"/>
      <x:c r="C279" s="45"/>
      <x:c r="D279" s="45"/>
      <x:c r="E279" s="78"/>
      <x:c r="F279" s="78"/>
      <x:c r="G279" s="45"/>
      <x:c r="H279" s="66" t="str">
        <x:f>IF(OR(E279="",F279=""),"",MAX(1,F279-E279+1))</x:f>
      </x:c>
      <x:c r="I279" s="84" t="str">
        <x:f>IF(OR(C279="",D279="",H279=""),"",IF(G279="Cancelled",0,IFERROR(D279*H279*VLOOKUP(C279,Inventory!$A$5:$E$104,5,FALSE),"")))</x:f>
      </x:c>
    </x:row>
    <x:row r="280">
      <x:c r="A280" s="44"/>
      <x:c r="B280" s="45"/>
      <x:c r="C280" s="45"/>
      <x:c r="D280" s="45"/>
      <x:c r="E280" s="78"/>
      <x:c r="F280" s="78"/>
      <x:c r="G280" s="45"/>
      <x:c r="H280" s="66" t="str">
        <x:f>IF(OR(E280="",F280=""),"",MAX(1,F280-E280+1))</x:f>
      </x:c>
      <x:c r="I280" s="84" t="str">
        <x:f>IF(OR(C280="",D280="",H280=""),"",IF(G280="Cancelled",0,IFERROR(D280*H280*VLOOKUP(C280,Inventory!$A$5:$E$104,5,FALSE),"")))</x:f>
      </x:c>
    </x:row>
    <x:row r="281">
      <x:c r="A281" s="44"/>
      <x:c r="B281" s="45"/>
      <x:c r="C281" s="45"/>
      <x:c r="D281" s="45"/>
      <x:c r="E281" s="78"/>
      <x:c r="F281" s="78"/>
      <x:c r="G281" s="45"/>
      <x:c r="H281" s="66" t="str">
        <x:f>IF(OR(E281="",F281=""),"",MAX(1,F281-E281+1))</x:f>
      </x:c>
      <x:c r="I281" s="84" t="str">
        <x:f>IF(OR(C281="",D281="",H281=""),"",IF(G281="Cancelled",0,IFERROR(D281*H281*VLOOKUP(C281,Inventory!$A$5:$E$104,5,FALSE),"")))</x:f>
      </x:c>
    </x:row>
    <x:row r="282">
      <x:c r="A282" s="44"/>
      <x:c r="B282" s="45"/>
      <x:c r="C282" s="45"/>
      <x:c r="D282" s="45"/>
      <x:c r="E282" s="78"/>
      <x:c r="F282" s="78"/>
      <x:c r="G282" s="45"/>
      <x:c r="H282" s="66" t="str">
        <x:f>IF(OR(E282="",F282=""),"",MAX(1,F282-E282+1))</x:f>
      </x:c>
      <x:c r="I282" s="84" t="str">
        <x:f>IF(OR(C282="",D282="",H282=""),"",IF(G282="Cancelled",0,IFERROR(D282*H282*VLOOKUP(C282,Inventory!$A$5:$E$104,5,FALSE),"")))</x:f>
      </x:c>
    </x:row>
    <x:row r="283">
      <x:c r="A283" s="44"/>
      <x:c r="B283" s="45"/>
      <x:c r="C283" s="45"/>
      <x:c r="D283" s="45"/>
      <x:c r="E283" s="78"/>
      <x:c r="F283" s="78"/>
      <x:c r="G283" s="45"/>
      <x:c r="H283" s="66" t="str">
        <x:f>IF(OR(E283="",F283=""),"",MAX(1,F283-E283+1))</x:f>
      </x:c>
      <x:c r="I283" s="84" t="str">
        <x:f>IF(OR(C283="",D283="",H283=""),"",IF(G283="Cancelled",0,IFERROR(D283*H283*VLOOKUP(C283,Inventory!$A$5:$E$104,5,FALSE),"")))</x:f>
      </x:c>
    </x:row>
    <x:row r="284">
      <x:c r="A284" s="44"/>
      <x:c r="B284" s="45"/>
      <x:c r="C284" s="45"/>
      <x:c r="D284" s="45"/>
      <x:c r="E284" s="78"/>
      <x:c r="F284" s="78"/>
      <x:c r="G284" s="45"/>
      <x:c r="H284" s="66" t="str">
        <x:f>IF(OR(E284="",F284=""),"",MAX(1,F284-E284+1))</x:f>
      </x:c>
      <x:c r="I284" s="84" t="str">
        <x:f>IF(OR(C284="",D284="",H284=""),"",IF(G284="Cancelled",0,IFERROR(D284*H284*VLOOKUP(C284,Inventory!$A$5:$E$104,5,FALSE),"")))</x:f>
      </x:c>
    </x:row>
    <x:row r="285">
      <x:c r="A285" s="44"/>
      <x:c r="B285" s="45"/>
      <x:c r="C285" s="45"/>
      <x:c r="D285" s="45"/>
      <x:c r="E285" s="78"/>
      <x:c r="F285" s="78"/>
      <x:c r="G285" s="45"/>
      <x:c r="H285" s="66" t="str">
        <x:f>IF(OR(E285="",F285=""),"",MAX(1,F285-E285+1))</x:f>
      </x:c>
      <x:c r="I285" s="84" t="str">
        <x:f>IF(OR(C285="",D285="",H285=""),"",IF(G285="Cancelled",0,IFERROR(D285*H285*VLOOKUP(C285,Inventory!$A$5:$E$104,5,FALSE),"")))</x:f>
      </x:c>
    </x:row>
    <x:row r="286">
      <x:c r="A286" s="44"/>
      <x:c r="B286" s="45"/>
      <x:c r="C286" s="45"/>
      <x:c r="D286" s="45"/>
      <x:c r="E286" s="78"/>
      <x:c r="F286" s="78"/>
      <x:c r="G286" s="45"/>
      <x:c r="H286" s="66" t="str">
        <x:f>IF(OR(E286="",F286=""),"",MAX(1,F286-E286+1))</x:f>
      </x:c>
      <x:c r="I286" s="84" t="str">
        <x:f>IF(OR(C286="",D286="",H286=""),"",IF(G286="Cancelled",0,IFERROR(D286*H286*VLOOKUP(C286,Inventory!$A$5:$E$104,5,FALSE),"")))</x:f>
      </x:c>
    </x:row>
    <x:row r="287">
      <x:c r="A287" s="44"/>
      <x:c r="B287" s="45"/>
      <x:c r="C287" s="45"/>
      <x:c r="D287" s="45"/>
      <x:c r="E287" s="78"/>
      <x:c r="F287" s="78"/>
      <x:c r="G287" s="45"/>
      <x:c r="H287" s="66" t="str">
        <x:f>IF(OR(E287="",F287=""),"",MAX(1,F287-E287+1))</x:f>
      </x:c>
      <x:c r="I287" s="84" t="str">
        <x:f>IF(OR(C287="",D287="",H287=""),"",IF(G287="Cancelled",0,IFERROR(D287*H287*VLOOKUP(C287,Inventory!$A$5:$E$104,5,FALSE),"")))</x:f>
      </x:c>
    </x:row>
    <x:row r="288">
      <x:c r="A288" s="44"/>
      <x:c r="B288" s="45"/>
      <x:c r="C288" s="45"/>
      <x:c r="D288" s="45"/>
      <x:c r="E288" s="78"/>
      <x:c r="F288" s="78"/>
      <x:c r="G288" s="45"/>
      <x:c r="H288" s="66" t="str">
        <x:f>IF(OR(E288="",F288=""),"",MAX(1,F288-E288+1))</x:f>
      </x:c>
      <x:c r="I288" s="84" t="str">
        <x:f>IF(OR(C288="",D288="",H288=""),"",IF(G288="Cancelled",0,IFERROR(D288*H288*VLOOKUP(C288,Inventory!$A$5:$E$104,5,FALSE),"")))</x:f>
      </x:c>
    </x:row>
    <x:row r="289">
      <x:c r="A289" s="44"/>
      <x:c r="B289" s="45"/>
      <x:c r="C289" s="45"/>
      <x:c r="D289" s="45"/>
      <x:c r="E289" s="78"/>
      <x:c r="F289" s="78"/>
      <x:c r="G289" s="45"/>
      <x:c r="H289" s="66" t="str">
        <x:f>IF(OR(E289="",F289=""),"",MAX(1,F289-E289+1))</x:f>
      </x:c>
      <x:c r="I289" s="84" t="str">
        <x:f>IF(OR(C289="",D289="",H289=""),"",IF(G289="Cancelled",0,IFERROR(D289*H289*VLOOKUP(C289,Inventory!$A$5:$E$104,5,FALSE),"")))</x:f>
      </x:c>
    </x:row>
    <x:row r="290">
      <x:c r="A290" s="44"/>
      <x:c r="B290" s="45"/>
      <x:c r="C290" s="45"/>
      <x:c r="D290" s="45"/>
      <x:c r="E290" s="78"/>
      <x:c r="F290" s="78"/>
      <x:c r="G290" s="45"/>
      <x:c r="H290" s="66" t="str">
        <x:f>IF(OR(E290="",F290=""),"",MAX(1,F290-E290+1))</x:f>
      </x:c>
      <x:c r="I290" s="84" t="str">
        <x:f>IF(OR(C290="",D290="",H290=""),"",IF(G290="Cancelled",0,IFERROR(D290*H290*VLOOKUP(C290,Inventory!$A$5:$E$104,5,FALSE),"")))</x:f>
      </x:c>
    </x:row>
    <x:row r="291">
      <x:c r="A291" s="44"/>
      <x:c r="B291" s="45"/>
      <x:c r="C291" s="45"/>
      <x:c r="D291" s="45"/>
      <x:c r="E291" s="78"/>
      <x:c r="F291" s="78"/>
      <x:c r="G291" s="45"/>
      <x:c r="H291" s="66" t="str">
        <x:f>IF(OR(E291="",F291=""),"",MAX(1,F291-E291+1))</x:f>
      </x:c>
      <x:c r="I291" s="84" t="str">
        <x:f>IF(OR(C291="",D291="",H291=""),"",IF(G291="Cancelled",0,IFERROR(D291*H291*VLOOKUP(C291,Inventory!$A$5:$E$104,5,FALSE),"")))</x:f>
      </x:c>
    </x:row>
    <x:row r="292">
      <x:c r="A292" s="44"/>
      <x:c r="B292" s="45"/>
      <x:c r="C292" s="45"/>
      <x:c r="D292" s="45"/>
      <x:c r="E292" s="78"/>
      <x:c r="F292" s="78"/>
      <x:c r="G292" s="45"/>
      <x:c r="H292" s="66" t="str">
        <x:f>IF(OR(E292="",F292=""),"",MAX(1,F292-E292+1))</x:f>
      </x:c>
      <x:c r="I292" s="84" t="str">
        <x:f>IF(OR(C292="",D292="",H292=""),"",IF(G292="Cancelled",0,IFERROR(D292*H292*VLOOKUP(C292,Inventory!$A$5:$E$104,5,FALSE),"")))</x:f>
      </x:c>
    </x:row>
    <x:row r="293">
      <x:c r="A293" s="44"/>
      <x:c r="B293" s="45"/>
      <x:c r="C293" s="45"/>
      <x:c r="D293" s="45"/>
      <x:c r="E293" s="78"/>
      <x:c r="F293" s="78"/>
      <x:c r="G293" s="45"/>
      <x:c r="H293" s="66" t="str">
        <x:f>IF(OR(E293="",F293=""),"",MAX(1,F293-E293+1))</x:f>
      </x:c>
      <x:c r="I293" s="84" t="str">
        <x:f>IF(OR(C293="",D293="",H293=""),"",IF(G293="Cancelled",0,IFERROR(D293*H293*VLOOKUP(C293,Inventory!$A$5:$E$104,5,FALSE),"")))</x:f>
      </x:c>
    </x:row>
    <x:row r="294">
      <x:c r="A294" s="44"/>
      <x:c r="B294" s="45"/>
      <x:c r="C294" s="45"/>
      <x:c r="D294" s="45"/>
      <x:c r="E294" s="78"/>
      <x:c r="F294" s="78"/>
      <x:c r="G294" s="45"/>
      <x:c r="H294" s="66" t="str">
        <x:f>IF(OR(E294="",F294=""),"",MAX(1,F294-E294+1))</x:f>
      </x:c>
      <x:c r="I294" s="84" t="str">
        <x:f>IF(OR(C294="",D294="",H294=""),"",IF(G294="Cancelled",0,IFERROR(D294*H294*VLOOKUP(C294,Inventory!$A$5:$E$104,5,FALSE),"")))</x:f>
      </x:c>
    </x:row>
    <x:row r="295">
      <x:c r="A295" s="44"/>
      <x:c r="B295" s="45"/>
      <x:c r="C295" s="45"/>
      <x:c r="D295" s="45"/>
      <x:c r="E295" s="78"/>
      <x:c r="F295" s="78"/>
      <x:c r="G295" s="45"/>
      <x:c r="H295" s="66" t="str">
        <x:f>IF(OR(E295="",F295=""),"",MAX(1,F295-E295+1))</x:f>
      </x:c>
      <x:c r="I295" s="84" t="str">
        <x:f>IF(OR(C295="",D295="",H295=""),"",IF(G295="Cancelled",0,IFERROR(D295*H295*VLOOKUP(C295,Inventory!$A$5:$E$104,5,FALSE),"")))</x:f>
      </x:c>
    </x:row>
    <x:row r="296">
      <x:c r="A296" s="44"/>
      <x:c r="B296" s="45"/>
      <x:c r="C296" s="45"/>
      <x:c r="D296" s="45"/>
      <x:c r="E296" s="78"/>
      <x:c r="F296" s="78"/>
      <x:c r="G296" s="45"/>
      <x:c r="H296" s="66" t="str">
        <x:f>IF(OR(E296="",F296=""),"",MAX(1,F296-E296+1))</x:f>
      </x:c>
      <x:c r="I296" s="84" t="str">
        <x:f>IF(OR(C296="",D296="",H296=""),"",IF(G296="Cancelled",0,IFERROR(D296*H296*VLOOKUP(C296,Inventory!$A$5:$E$104,5,FALSE),"")))</x:f>
      </x:c>
    </x:row>
    <x:row r="297">
      <x:c r="A297" s="44"/>
      <x:c r="B297" s="45"/>
      <x:c r="C297" s="45"/>
      <x:c r="D297" s="45"/>
      <x:c r="E297" s="78"/>
      <x:c r="F297" s="78"/>
      <x:c r="G297" s="45"/>
      <x:c r="H297" s="66" t="str">
        <x:f>IF(OR(E297="",F297=""),"",MAX(1,F297-E297+1))</x:f>
      </x:c>
      <x:c r="I297" s="84" t="str">
        <x:f>IF(OR(C297="",D297="",H297=""),"",IF(G297="Cancelled",0,IFERROR(D297*H297*VLOOKUP(C297,Inventory!$A$5:$E$104,5,FALSE),"")))</x:f>
      </x:c>
    </x:row>
    <x:row r="298">
      <x:c r="A298" s="44"/>
      <x:c r="B298" s="45"/>
      <x:c r="C298" s="45"/>
      <x:c r="D298" s="45"/>
      <x:c r="E298" s="78"/>
      <x:c r="F298" s="78"/>
      <x:c r="G298" s="45"/>
      <x:c r="H298" s="66" t="str">
        <x:f>IF(OR(E298="",F298=""),"",MAX(1,F298-E298+1))</x:f>
      </x:c>
      <x:c r="I298" s="84" t="str">
        <x:f>IF(OR(C298="",D298="",H298=""),"",IF(G298="Cancelled",0,IFERROR(D298*H298*VLOOKUP(C298,Inventory!$A$5:$E$104,5,FALSE),"")))</x:f>
      </x:c>
    </x:row>
    <x:row r="299">
      <x:c r="A299" s="44"/>
      <x:c r="B299" s="45"/>
      <x:c r="C299" s="45"/>
      <x:c r="D299" s="45"/>
      <x:c r="E299" s="78"/>
      <x:c r="F299" s="78"/>
      <x:c r="G299" s="45"/>
      <x:c r="H299" s="66" t="str">
        <x:f>IF(OR(E299="",F299=""),"",MAX(1,F299-E299+1))</x:f>
      </x:c>
      <x:c r="I299" s="84" t="str">
        <x:f>IF(OR(C299="",D299="",H299=""),"",IF(G299="Cancelled",0,IFERROR(D299*H299*VLOOKUP(C299,Inventory!$A$5:$E$104,5,FALSE),"")))</x:f>
      </x:c>
    </x:row>
    <x:row r="300">
      <x:c r="A300" s="44"/>
      <x:c r="B300" s="45"/>
      <x:c r="C300" s="45"/>
      <x:c r="D300" s="45"/>
      <x:c r="E300" s="78"/>
      <x:c r="F300" s="78"/>
      <x:c r="G300" s="45"/>
      <x:c r="H300" s="66" t="str">
        <x:f>IF(OR(E300="",F300=""),"",MAX(1,F300-E300+1))</x:f>
      </x:c>
      <x:c r="I300" s="84" t="str">
        <x:f>IF(OR(C300="",D300="",H300=""),"",IF(G300="Cancelled",0,IFERROR(D300*H300*VLOOKUP(C300,Inventory!$A$5:$E$104,5,FALSE),"")))</x:f>
      </x:c>
    </x:row>
    <x:row r="301">
      <x:c r="A301" s="44"/>
      <x:c r="B301" s="45"/>
      <x:c r="C301" s="45"/>
      <x:c r="D301" s="45"/>
      <x:c r="E301" s="78"/>
      <x:c r="F301" s="78"/>
      <x:c r="G301" s="45"/>
      <x:c r="H301" s="66" t="str">
        <x:f>IF(OR(E301="",F301=""),"",MAX(1,F301-E301+1))</x:f>
      </x:c>
      <x:c r="I301" s="84" t="str">
        <x:f>IF(OR(C301="",D301="",H301=""),"",IF(G301="Cancelled",0,IFERROR(D301*H301*VLOOKUP(C301,Inventory!$A$5:$E$104,5,FALSE),"")))</x:f>
      </x:c>
    </x:row>
    <x:row r="302">
      <x:c r="A302" s="44"/>
      <x:c r="B302" s="45"/>
      <x:c r="C302" s="45"/>
      <x:c r="D302" s="45"/>
      <x:c r="E302" s="78"/>
      <x:c r="F302" s="78"/>
      <x:c r="G302" s="45"/>
      <x:c r="H302" s="66" t="str">
        <x:f>IF(OR(E302="",F302=""),"",MAX(1,F302-E302+1))</x:f>
      </x:c>
      <x:c r="I302" s="84" t="str">
        <x:f>IF(OR(C302="",D302="",H302=""),"",IF(G302="Cancelled",0,IFERROR(D302*H302*VLOOKUP(C302,Inventory!$A$5:$E$104,5,FALSE),"")))</x:f>
      </x:c>
    </x:row>
    <x:row r="303">
      <x:c r="A303" s="44"/>
      <x:c r="B303" s="45"/>
      <x:c r="C303" s="45"/>
      <x:c r="D303" s="45"/>
      <x:c r="E303" s="78"/>
      <x:c r="F303" s="78"/>
      <x:c r="G303" s="45"/>
      <x:c r="H303" s="66" t="str">
        <x:f>IF(OR(E303="",F303=""),"",MAX(1,F303-E303+1))</x:f>
      </x:c>
      <x:c r="I303" s="84" t="str">
        <x:f>IF(OR(C303="",D303="",H303=""),"",IF(G303="Cancelled",0,IFERROR(D303*H303*VLOOKUP(C303,Inventory!$A$5:$E$104,5,FALSE),"")))</x:f>
      </x:c>
    </x:row>
    <x:row r="304">
      <x:c r="A304" s="47"/>
      <x:c r="B304" s="48"/>
      <x:c r="C304" s="48"/>
      <x:c r="D304" s="48"/>
      <x:c r="E304" s="79"/>
      <x:c r="F304" s="79"/>
      <x:c r="G304" s="48"/>
      <x:c r="H304" s="67" t="str">
        <x:f>IF(OR(E304="",F304=""),"",MAX(1,F304-E304+1))</x:f>
      </x:c>
      <x:c r="I304" s="85" t="str">
        <x:f>IF(OR(C304="",D304="",H304=""),"",IF(G304="Cancelled",0,IFERROR(D304*H304*VLOOKUP(C304,Inventory!$A$5:$E$104,5,FALSE),"")))</x:f>
      </x:c>
    </x:row>
  </x:sheetData>
  <x:mergeCells>
    <x:mergeCell ref="A1:I1"/>
    <x:mergeCell ref="A2:I2"/>
  </x:mergeCells>
  <x:conditionalFormatting sqref="F5:F304">
    <x:cfRule type="expression" dxfId="1" priority="1">
      <x:formula>AND(E5&lt;&gt;"",F5&lt;&gt;"",F5&lt;E5)</x:formula>
    </x:cfRule>
  </x:conditionalFormatting>
  <x:conditionalFormatting sqref="G5:G304">
    <x:cfRule type="expression" dxfId="2" priority="2">
      <x:formula>G5="Reserved"</x:formula>
    </x:cfRule>
    <x:cfRule type="expression" dxfId="3" priority="3">
      <x:formula>G5="Checked out"</x:formula>
    </x:cfRule>
    <x:cfRule type="expression" dxfId="4" priority="4">
      <x:formula>G5="Returned"</x:formula>
    </x:cfRule>
    <x:cfRule type="expression" dxfId="5" priority="5">
      <x:formula>G5="Cancelled"</x:formula>
    </x:cfRule>
  </x:conditionalFormatting>
  <x:dataValidations count="3">
    <x:dataValidation operator="greaterThanOrEqual" sqref="D5:D304">
      <x:formula1>1</x:formula1>
    </x:dataValidation>
    <x:dataValidation type="list" sqref="G5:G304">
      <x:formula1>"Reserved,Checked out,Returned,Cancelled"</x:formula1>
    </x:dataValidation>
    <x:dataValidation type="list" sqref="C5:C304">
      <x:formula1>Inventory!$A$5:$A$104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6" hidden="0" customWidth="1"/>
    <x:col min="3" max="3" width="12" hidden="0" customWidth="1"/>
    <x:col min="4" max="4" width="18" hidden="0" customWidth="1"/>
    <x:col min="5" max="5" width="15" hidden="0" customWidth="1"/>
    <x:col min="6" max="6" width="14" hidden="0" customWidth="1"/>
    <x:col min="7" max="7" width="15" hidden="0" customWidth="1"/>
  </x:cols>
  <x:sheetData>
    <x:row r="1" ht="30" customHeight="1">
      <x:c r="A1" s="5" t="str">
        <x:v>Availability Check</x:v>
      </x:c>
      <x:c r="B1" s="5"/>
      <x:c r="C1" s="5"/>
      <x:c r="D1" s="5"/>
      <x:c r="E1" s="5"/>
      <x:c r="F1" s="5"/>
      <x:c r="G1" s="5"/>
    </x:row>
    <x:row r="2">
      <x:c r="A2" s="11" t="str">
        <x:v>Choose a rental period below. The sheet counts overlapping Reserved and Checked out bookings and compares them with total stock.</x:v>
      </x:c>
      <x:c r="B2" s="11"/>
      <x:c r="C2" s="11"/>
      <x:c r="D2" s="11"/>
      <x:c r="E2" s="11"/>
      <x:c r="F2" s="11"/>
      <x:c r="G2" s="11"/>
    </x:row>
    <x:row r="3">
      <x:c r="A3" s="98" t="str">
        <x:v>Start Date</x:v>
      </x:c>
      <x:c r="B3" s="115" t="n">
        <x:v>46305</x:v>
      </x:c>
      <x:c r="C3" s="106" t="str">
        <x:v>End Date</x:v>
      </x:c>
      <x:c r="D3" s="117" t="n">
        <x:v>46307</x:v>
      </x:c>
      <x:c r="F3" s="122" t="str">
        <x:v>Period Check</x:v>
      </x:c>
      <x:c r="G3" s="127" t="str">
        <x:f>IF(OR(B3="",D3=""),"Select dates",IF(D3&lt;B3,"End date is before start date","Ready"))</x:f>
        <x:v>Ready</x:v>
      </x:c>
    </x:row>
    <x:row r="5">
      <x:c r="A5" s="145" t="str">
        <x:v>Inventory Lines</x:v>
      </x:c>
      <x:c r="B5" s="146"/>
      <x:c r="C5" s="146" t="str">
        <x:v>Fully Available</x:v>
      </x:c>
      <x:c r="D5" s="146"/>
      <x:c r="E5" s="146" t="str">
        <x:v>Limited</x:v>
      </x:c>
      <x:c r="F5" s="146"/>
      <x:c r="G5" s="147" t="str">
        <x:v>Unavailable</x:v>
      </x:c>
    </x:row>
    <x:row r="6">
      <x:c r="A6" s="148" t="n">
        <x:f>COUNTIF(Inventory!$A$5:$A$104,"&lt;&gt;")</x:f>
        <x:v>6</x:v>
      </x:c>
      <x:c r="B6" s="149"/>
      <x:c r="C6" s="149" t="n">
        <x:f>COUNTIF(G10:G109,"Available")</x:f>
        <x:v>1</x:v>
      </x:c>
      <x:c r="D6" s="149"/>
      <x:c r="E6" s="149" t="n">
        <x:f>COUNTIF(G10:G109,"Limited")</x:f>
        <x:v>4</x:v>
      </x:c>
      <x:c r="F6" s="149"/>
      <x:c r="G6" s="150" t="n">
        <x:f>COUNTIF(G10:G109,"Unavailable")</x:f>
        <x:v>1</x:v>
      </x:c>
    </x:row>
    <x:row r="9" ht="30" customHeight="1">
      <x:c r="A9" s="18" t="str">
        <x:v>Item Code</x:v>
      </x:c>
      <x:c r="B9" s="18" t="str">
        <x:v>Item Name</x:v>
      </x:c>
      <x:c r="C9" s="18" t="str">
        <x:v>Total Qty</x:v>
      </x:c>
      <x:c r="D9" s="18" t="str">
        <x:v>Active Booked Qty</x:v>
      </x:c>
      <x:c r="E9" s="18" t="str">
        <x:v>Available Qty</x:v>
      </x:c>
      <x:c r="F9" s="18" t="str">
        <x:v>Daily Rate</x:v>
      </x:c>
      <x:c r="G9" s="18" t="str">
        <x:v>Status</x:v>
      </x:c>
    </x:row>
    <x:row r="10">
      <x:c r="A10" s="41" t="str">
        <x:f>IF(Inventory!A5="","",Inventory!A5)</x:f>
        <x:v>CHAIR-FLD</x:v>
      </x:c>
      <x:c r="B10" s="42" t="str">
        <x:f>IF(A10="","",IFERROR(VLOOKUP(A10,Inventory!$A$5:$F$104,2,FALSE),""))</x:f>
        <x:v>Folding Chair</x:v>
      </x:c>
      <x:c r="C10" s="65" t="n">
        <x:f>IF(A10="","",IFERROR(VLOOKUP(A10,Inventory!$A$5:$F$104,4,FALSE),""))</x:f>
        <x:v>120</x:v>
      </x:c>
      <x:c r="D10" s="65" t="n">
        <x:f>IF(OR(A10="",$B$3="",$D$3="",$D$3&lt;$B$3),"",SUMIFS(Bookings!$D$5:$D$304,Bookings!$C$5:$C$304,A10,Bookings!$E$5:$E$304,"&lt;="&amp;$D$3,Bookings!$F$5:$F$304,"&gt;="&amp;$B$3,Bookings!$G$5:$G$304,"Reserved")+SUMIFS(Bookings!$D$5:$D$304,Bookings!$C$5:$C$304,A10,Bookings!$E$5:$E$304,"&lt;="&amp;$D$3,Bookings!$F$5:$F$304,"&gt;="&amp;$B$3,Bookings!$G$5:$G$304,"Checked out"))</x:f>
        <x:v>130</x:v>
      </x:c>
      <x:c r="E10" s="65" t="n">
        <x:f>IF(OR(A10="",C10="",$B$3="",$D$3="",$D$3&lt;$B$3),"",MAX(0,C10-D10))</x:f>
        <x:v>0</x:v>
      </x:c>
      <x:c r="F10" s="71" t="n">
        <x:f>IF(A10="","",IFERROR(VLOOKUP(A10,Inventory!$A$5:$F$104,5,FALSE),""))</x:f>
        <x:v>3.5</x:v>
      </x:c>
      <x:c r="G10" s="43" t="str">
        <x:f>IF(A10="","",IF(OR($B$3="",$D$3="",$D$3&lt;$B$3),"Check dates",IF(E10&lt;=0,"Unavailable",IF(E10&lt;C10,"Limited","Available"))))</x:f>
        <x:v>Unavailable</x:v>
      </x:c>
    </x:row>
    <x:row r="11">
      <x:c r="A11" s="44" t="str">
        <x:f>IF(Inventory!A6="","",Inventory!A6)</x:f>
        <x:v>TABLE-R60</x:v>
      </x:c>
      <x:c r="B11" s="45" t="str">
        <x:f>IF(A11="","",IFERROR(VLOOKUP(A11,Inventory!$A$5:$F$104,2,FALSE),""))</x:f>
        <x:v>60" Round Table</x:v>
      </x:c>
      <x:c r="C11" s="66" t="n">
        <x:f>IF(A11="","",IFERROR(VLOOKUP(A11,Inventory!$A$5:$F$104,4,FALSE),""))</x:f>
        <x:v>18</x:v>
      </x:c>
      <x:c r="D11" s="66" t="n">
        <x:f>IF(OR(A11="",$B$3="",$D$3="",$D$3&lt;$B$3),"",SUMIFS(Bookings!$D$5:$D$304,Bookings!$C$5:$C$304,A11,Bookings!$E$5:$E$304,"&lt;="&amp;$D$3,Bookings!$F$5:$F$304,"&gt;="&amp;$B$3,Bookings!$G$5:$G$304,"Reserved")+SUMIFS(Bookings!$D$5:$D$304,Bookings!$C$5:$C$304,A11,Bookings!$E$5:$E$304,"&lt;="&amp;$D$3,Bookings!$F$5:$F$304,"&gt;="&amp;$B$3,Bookings!$G$5:$G$304,"Checked out"))</x:f>
        <x:v>10</x:v>
      </x:c>
      <x:c r="E11" s="66" t="n">
        <x:f>IF(OR(A11="",C11="",$B$3="",$D$3="",$D$3&lt;$B$3),"",MAX(0,C11-D11))</x:f>
        <x:v>8</x:v>
      </x:c>
      <x:c r="F11" s="72" t="n">
        <x:f>IF(A11="","",IFERROR(VLOOKUP(A11,Inventory!$A$5:$F$104,5,FALSE),""))</x:f>
        <x:v>18</x:v>
      </x:c>
      <x:c r="G11" s="46" t="str">
        <x:f>IF(A11="","",IF(OR($B$3="",$D$3="",$D$3&lt;$B$3),"Check dates",IF(E11&lt;=0,"Unavailable",IF(E11&lt;C11,"Limited","Available"))))</x:f>
        <x:v>Limited</x:v>
      </x:c>
    </x:row>
    <x:row r="12">
      <x:c r="A12" s="44" t="str">
        <x:f>IF(Inventory!A7="","",Inventory!A7)</x:f>
        <x:v>PA-SPK12</x:v>
      </x:c>
      <x:c r="B12" s="45" t="str">
        <x:f>IF(A12="","",IFERROR(VLOOKUP(A12,Inventory!$A$5:$F$104,2,FALSE),""))</x:f>
        <x:v>12" PA Speaker</x:v>
      </x:c>
      <x:c r="C12" s="66" t="n">
        <x:f>IF(A12="","",IFERROR(VLOOKUP(A12,Inventory!$A$5:$F$104,4,FALSE),""))</x:f>
        <x:v>8</x:v>
      </x:c>
      <x:c r="D12" s="66" t="n">
        <x:f>IF(OR(A12="",$B$3="",$D$3="",$D$3&lt;$B$3),"",SUMIFS(Bookings!$D$5:$D$304,Bookings!$C$5:$C$304,A12,Bookings!$E$5:$E$304,"&lt;="&amp;$D$3,Bookings!$F$5:$F$304,"&gt;="&amp;$B$3,Bookings!$G$5:$G$304,"Reserved")+SUMIFS(Bookings!$D$5:$D$304,Bookings!$C$5:$C$304,A12,Bookings!$E$5:$E$304,"&lt;="&amp;$D$3,Bookings!$F$5:$F$304,"&gt;="&amp;$B$3,Bookings!$G$5:$G$304,"Checked out"))</x:f>
        <x:v>6</x:v>
      </x:c>
      <x:c r="E12" s="66" t="n">
        <x:f>IF(OR(A12="",C12="",$B$3="",$D$3="",$D$3&lt;$B$3),"",MAX(0,C12-D12))</x:f>
        <x:v>2</x:v>
      </x:c>
      <x:c r="F12" s="72" t="n">
        <x:f>IF(A12="","",IFERROR(VLOOKUP(A12,Inventory!$A$5:$F$104,5,FALSE),""))</x:f>
        <x:v>35</x:v>
      </x:c>
      <x:c r="G12" s="46" t="str">
        <x:f>IF(A12="","",IF(OR($B$3="",$D$3="",$D$3&lt;$B$3),"Check dates",IF(E12&lt;=0,"Unavailable",IF(E12&lt;C12,"Limited","Available"))))</x:f>
        <x:v>Limited</x:v>
      </x:c>
    </x:row>
    <x:row r="13">
      <x:c r="A13" s="44" t="str">
        <x:f>IF(Inventory!A8="","",Inventory!A8)</x:f>
        <x:v>MIC-WL01</x:v>
      </x:c>
      <x:c r="B13" s="45" t="str">
        <x:f>IF(A13="","",IFERROR(VLOOKUP(A13,Inventory!$A$5:$F$104,2,FALSE),""))</x:f>
        <x:v>Wireless Microphone</x:v>
      </x:c>
      <x:c r="C13" s="66" t="n">
        <x:f>IF(A13="","",IFERROR(VLOOKUP(A13,Inventory!$A$5:$F$104,4,FALSE),""))</x:f>
        <x:v>12</x:v>
      </x:c>
      <x:c r="D13" s="66" t="n">
        <x:f>IF(OR(A13="",$B$3="",$D$3="",$D$3&lt;$B$3),"",SUMIFS(Bookings!$D$5:$D$304,Bookings!$C$5:$C$304,A13,Bookings!$E$5:$E$304,"&lt;="&amp;$D$3,Bookings!$F$5:$F$304,"&gt;="&amp;$B$3,Bookings!$G$5:$G$304,"Reserved")+SUMIFS(Bookings!$D$5:$D$304,Bookings!$C$5:$C$304,A13,Bookings!$E$5:$E$304,"&lt;="&amp;$D$3,Bookings!$F$5:$F$304,"&gt;="&amp;$B$3,Bookings!$G$5:$G$304,"Checked out"))</x:f>
        <x:v>8</x:v>
      </x:c>
      <x:c r="E13" s="66" t="n">
        <x:f>IF(OR(A13="",C13="",$B$3="",$D$3="",$D$3&lt;$B$3),"",MAX(0,C13-D13))</x:f>
        <x:v>4</x:v>
      </x:c>
      <x:c r="F13" s="72" t="n">
        <x:f>IF(A13="","",IFERROR(VLOOKUP(A13,Inventory!$A$5:$F$104,5,FALSE),""))</x:f>
        <x:v>15</x:v>
      </x:c>
      <x:c r="G13" s="46" t="str">
        <x:f>IF(A13="","",IF(OR($B$3="",$D$3="",$D$3&lt;$B$3),"Check dates",IF(E13&lt;=0,"Unavailable",IF(E13&lt;C13,"Limited","Available"))))</x:f>
        <x:v>Limited</x:v>
      </x:c>
    </x:row>
    <x:row r="14">
      <x:c r="A14" s="44" t="str">
        <x:f>IF(Inventory!A9="","",Inventory!A9)</x:f>
        <x:v>LIGHT-UPL</x:v>
      </x:c>
      <x:c r="B14" s="45" t="str">
        <x:f>IF(A14="","",IFERROR(VLOOKUP(A14,Inventory!$A$5:$F$104,2,FALSE),""))</x:f>
        <x:v>LED Uplight</x:v>
      </x:c>
      <x:c r="C14" s="66" t="n">
        <x:f>IF(A14="","",IFERROR(VLOOKUP(A14,Inventory!$A$5:$F$104,4,FALSE),""))</x:f>
        <x:v>40</x:v>
      </x:c>
      <x:c r="D14" s="66" t="n">
        <x:f>IF(OR(A14="",$B$3="",$D$3="",$D$3&lt;$B$3),"",SUMIFS(Bookings!$D$5:$D$304,Bookings!$C$5:$C$304,A14,Bookings!$E$5:$E$304,"&lt;="&amp;$D$3,Bookings!$F$5:$F$304,"&gt;="&amp;$B$3,Bookings!$G$5:$G$304,"Reserved")+SUMIFS(Bookings!$D$5:$D$304,Bookings!$C$5:$C$304,A14,Bookings!$E$5:$E$304,"&lt;="&amp;$D$3,Bookings!$F$5:$F$304,"&gt;="&amp;$B$3,Bookings!$G$5:$G$304,"Checked out"))</x:f>
        <x:v>0</x:v>
      </x:c>
      <x:c r="E14" s="66" t="n">
        <x:f>IF(OR(A14="",C14="",$B$3="",$D$3="",$D$3&lt;$B$3),"",MAX(0,C14-D14))</x:f>
        <x:v>40</x:v>
      </x:c>
      <x:c r="F14" s="72" t="n">
        <x:f>IF(A14="","",IFERROR(VLOOKUP(A14,Inventory!$A$5:$F$104,5,FALSE),""))</x:f>
        <x:v>8</x:v>
      </x:c>
      <x:c r="G14" s="46" t="str">
        <x:f>IF(A14="","",IF(OR($B$3="",$D$3="",$D$3&lt;$B$3),"Check dates",IF(E14&lt;=0,"Unavailable",IF(E14&lt;C14,"Limited","Available"))))</x:f>
        <x:v>Available</x:v>
      </x:c>
    </x:row>
    <x:row r="15">
      <x:c r="A15" s="44" t="str">
        <x:f>IF(Inventory!A10="","",Inventory!A10)</x:f>
        <x:v>TENT-3X3</x:v>
      </x:c>
      <x:c r="B15" s="45" t="str">
        <x:f>IF(A15="","",IFERROR(VLOOKUP(A15,Inventory!$A$5:$F$104,2,FALSE),""))</x:f>
        <x:v>3 × 3 m Pop-up Tent</x:v>
      </x:c>
      <x:c r="C15" s="66" t="n">
        <x:f>IF(A15="","",IFERROR(VLOOKUP(A15,Inventory!$A$5:$F$104,4,FALSE),""))</x:f>
        <x:v>10</x:v>
      </x:c>
      <x:c r="D15" s="66" t="n">
        <x:f>IF(OR(A15="",$B$3="",$D$3="",$D$3&lt;$B$3),"",SUMIFS(Bookings!$D$5:$D$304,Bookings!$C$5:$C$304,A15,Bookings!$E$5:$E$304,"&lt;="&amp;$D$3,Bookings!$F$5:$F$304,"&gt;="&amp;$B$3,Bookings!$G$5:$G$304,"Reserved")+SUMIFS(Bookings!$D$5:$D$304,Bookings!$C$5:$C$304,A15,Bookings!$E$5:$E$304,"&lt;="&amp;$D$3,Bookings!$F$5:$F$304,"&gt;="&amp;$B$3,Bookings!$G$5:$G$304,"Checked out"))</x:f>
        <x:v>4</x:v>
      </x:c>
      <x:c r="E15" s="66" t="n">
        <x:f>IF(OR(A15="",C15="",$B$3="",$D$3="",$D$3&lt;$B$3),"",MAX(0,C15-D15))</x:f>
        <x:v>6</x:v>
      </x:c>
      <x:c r="F15" s="72" t="n">
        <x:f>IF(A15="","",IFERROR(VLOOKUP(A15,Inventory!$A$5:$F$104,5,FALSE),""))</x:f>
        <x:v>45</x:v>
      </x:c>
      <x:c r="G15" s="46" t="str">
        <x:f>IF(A15="","",IF(OR($B$3="",$D$3="",$D$3&lt;$B$3),"Check dates",IF(E15&lt;=0,"Unavailable",IF(E15&lt;C15,"Limited","Available"))))</x:f>
        <x:v>Limited</x:v>
      </x:c>
    </x:row>
    <x:row r="16">
      <x:c r="A16" s="44" t="str">
        <x:f>IF(Inventory!A11="","",Inventory!A11)</x:f>
      </x:c>
      <x:c r="B16" s="45" t="str">
        <x:f>IF(A16="","",IFERROR(VLOOKUP(A16,Inventory!$A$5:$F$104,2,FALSE),""))</x:f>
      </x:c>
      <x:c r="C16" s="66" t="str">
        <x:f>IF(A16="","",IFERROR(VLOOKUP(A16,Inventory!$A$5:$F$104,4,FALSE),""))</x:f>
      </x:c>
      <x:c r="D16" s="66" t="str">
        <x:f>IF(OR(A16="",$B$3="",$D$3="",$D$3&lt;$B$3),"",SUMIFS(Bookings!$D$5:$D$304,Bookings!$C$5:$C$304,A16,Bookings!$E$5:$E$304,"&lt;="&amp;$D$3,Bookings!$F$5:$F$304,"&gt;="&amp;$B$3,Bookings!$G$5:$G$304,"Reserved")+SUMIFS(Bookings!$D$5:$D$304,Bookings!$C$5:$C$304,A16,Bookings!$E$5:$E$304,"&lt;="&amp;$D$3,Bookings!$F$5:$F$304,"&gt;="&amp;$B$3,Bookings!$G$5:$G$304,"Checked out"))</x:f>
      </x:c>
      <x:c r="E16" s="66" t="str">
        <x:f>IF(OR(A16="",C16="",$B$3="",$D$3="",$D$3&lt;$B$3),"",MAX(0,C16-D16))</x:f>
      </x:c>
      <x:c r="F16" s="72" t="str">
        <x:f>IF(A16="","",IFERROR(VLOOKUP(A16,Inventory!$A$5:$F$104,5,FALSE),""))</x:f>
      </x:c>
      <x:c r="G16" s="46" t="str">
        <x:f>IF(A16="","",IF(OR($B$3="",$D$3="",$D$3&lt;$B$3),"Check dates",IF(E16&lt;=0,"Unavailable",IF(E16&lt;C16,"Limited","Available"))))</x:f>
      </x:c>
    </x:row>
    <x:row r="17">
      <x:c r="A17" s="44" t="str">
        <x:f>IF(Inventory!A12="","",Inventory!A12)</x:f>
      </x:c>
      <x:c r="B17" s="45" t="str">
        <x:f>IF(A17="","",IFERROR(VLOOKUP(A17,Inventory!$A$5:$F$104,2,FALSE),""))</x:f>
      </x:c>
      <x:c r="C17" s="66" t="str">
        <x:f>IF(A17="","",IFERROR(VLOOKUP(A17,Inventory!$A$5:$F$104,4,FALSE),""))</x:f>
      </x:c>
      <x:c r="D17" s="66" t="str">
        <x:f>IF(OR(A17="",$B$3="",$D$3="",$D$3&lt;$B$3),"",SUMIFS(Bookings!$D$5:$D$304,Bookings!$C$5:$C$304,A17,Bookings!$E$5:$E$304,"&lt;="&amp;$D$3,Bookings!$F$5:$F$304,"&gt;="&amp;$B$3,Bookings!$G$5:$G$304,"Reserved")+SUMIFS(Bookings!$D$5:$D$304,Bookings!$C$5:$C$304,A17,Bookings!$E$5:$E$304,"&lt;="&amp;$D$3,Bookings!$F$5:$F$304,"&gt;="&amp;$B$3,Bookings!$G$5:$G$304,"Checked out"))</x:f>
      </x:c>
      <x:c r="E17" s="66" t="str">
        <x:f>IF(OR(A17="",C17="",$B$3="",$D$3="",$D$3&lt;$B$3),"",MAX(0,C17-D17))</x:f>
      </x:c>
      <x:c r="F17" s="72" t="str">
        <x:f>IF(A17="","",IFERROR(VLOOKUP(A17,Inventory!$A$5:$F$104,5,FALSE),""))</x:f>
      </x:c>
      <x:c r="G17" s="46" t="str">
        <x:f>IF(A17="","",IF(OR($B$3="",$D$3="",$D$3&lt;$B$3),"Check dates",IF(E17&lt;=0,"Unavailable",IF(E17&lt;C17,"Limited","Available"))))</x:f>
      </x:c>
    </x:row>
    <x:row r="18">
      <x:c r="A18" s="44" t="str">
        <x:f>IF(Inventory!A13="","",Inventory!A13)</x:f>
      </x:c>
      <x:c r="B18" s="45" t="str">
        <x:f>IF(A18="","",IFERROR(VLOOKUP(A18,Inventory!$A$5:$F$104,2,FALSE),""))</x:f>
      </x:c>
      <x:c r="C18" s="66" t="str">
        <x:f>IF(A18="","",IFERROR(VLOOKUP(A18,Inventory!$A$5:$F$104,4,FALSE),""))</x:f>
      </x:c>
      <x:c r="D18" s="66" t="str">
        <x:f>IF(OR(A18="",$B$3="",$D$3="",$D$3&lt;$B$3),"",SUMIFS(Bookings!$D$5:$D$304,Bookings!$C$5:$C$304,A18,Bookings!$E$5:$E$304,"&lt;="&amp;$D$3,Bookings!$F$5:$F$304,"&gt;="&amp;$B$3,Bookings!$G$5:$G$304,"Reserved")+SUMIFS(Bookings!$D$5:$D$304,Bookings!$C$5:$C$304,A18,Bookings!$E$5:$E$304,"&lt;="&amp;$D$3,Bookings!$F$5:$F$304,"&gt;="&amp;$B$3,Bookings!$G$5:$G$304,"Checked out"))</x:f>
      </x:c>
      <x:c r="E18" s="66" t="str">
        <x:f>IF(OR(A18="",C18="",$B$3="",$D$3="",$D$3&lt;$B$3),"",MAX(0,C18-D18))</x:f>
      </x:c>
      <x:c r="F18" s="72" t="str">
        <x:f>IF(A18="","",IFERROR(VLOOKUP(A18,Inventory!$A$5:$F$104,5,FALSE),""))</x:f>
      </x:c>
      <x:c r="G18" s="46" t="str">
        <x:f>IF(A18="","",IF(OR($B$3="",$D$3="",$D$3&lt;$B$3),"Check dates",IF(E18&lt;=0,"Unavailable",IF(E18&lt;C18,"Limited","Available"))))</x:f>
      </x:c>
    </x:row>
    <x:row r="19">
      <x:c r="A19" s="44" t="str">
        <x:f>IF(Inventory!A14="","",Inventory!A14)</x:f>
      </x:c>
      <x:c r="B19" s="45" t="str">
        <x:f>IF(A19="","",IFERROR(VLOOKUP(A19,Inventory!$A$5:$F$104,2,FALSE),""))</x:f>
      </x:c>
      <x:c r="C19" s="66" t="str">
        <x:f>IF(A19="","",IFERROR(VLOOKUP(A19,Inventory!$A$5:$F$104,4,FALSE),""))</x:f>
      </x:c>
      <x:c r="D19" s="66" t="str">
        <x:f>IF(OR(A19="",$B$3="",$D$3="",$D$3&lt;$B$3),"",SUMIFS(Bookings!$D$5:$D$304,Bookings!$C$5:$C$304,A19,Bookings!$E$5:$E$304,"&lt;="&amp;$D$3,Bookings!$F$5:$F$304,"&gt;="&amp;$B$3,Bookings!$G$5:$G$304,"Reserved")+SUMIFS(Bookings!$D$5:$D$304,Bookings!$C$5:$C$304,A19,Bookings!$E$5:$E$304,"&lt;="&amp;$D$3,Bookings!$F$5:$F$304,"&gt;="&amp;$B$3,Bookings!$G$5:$G$304,"Checked out"))</x:f>
      </x:c>
      <x:c r="E19" s="66" t="str">
        <x:f>IF(OR(A19="",C19="",$B$3="",$D$3="",$D$3&lt;$B$3),"",MAX(0,C19-D19))</x:f>
      </x:c>
      <x:c r="F19" s="72" t="str">
        <x:f>IF(A19="","",IFERROR(VLOOKUP(A19,Inventory!$A$5:$F$104,5,FALSE),""))</x:f>
      </x:c>
      <x:c r="G19" s="46" t="str">
        <x:f>IF(A19="","",IF(OR($B$3="",$D$3="",$D$3&lt;$B$3),"Check dates",IF(E19&lt;=0,"Unavailable",IF(E19&lt;C19,"Limited","Available"))))</x:f>
      </x:c>
    </x:row>
    <x:row r="20">
      <x:c r="A20" s="44" t="str">
        <x:f>IF(Inventory!A15="","",Inventory!A15)</x:f>
      </x:c>
      <x:c r="B20" s="45" t="str">
        <x:f>IF(A20="","",IFERROR(VLOOKUP(A20,Inventory!$A$5:$F$104,2,FALSE),""))</x:f>
      </x:c>
      <x:c r="C20" s="66" t="str">
        <x:f>IF(A20="","",IFERROR(VLOOKUP(A20,Inventory!$A$5:$F$104,4,FALSE),""))</x:f>
      </x:c>
      <x:c r="D20" s="66" t="str">
        <x:f>IF(OR(A20="",$B$3="",$D$3="",$D$3&lt;$B$3),"",SUMIFS(Bookings!$D$5:$D$304,Bookings!$C$5:$C$304,A20,Bookings!$E$5:$E$304,"&lt;="&amp;$D$3,Bookings!$F$5:$F$304,"&gt;="&amp;$B$3,Bookings!$G$5:$G$304,"Reserved")+SUMIFS(Bookings!$D$5:$D$304,Bookings!$C$5:$C$304,A20,Bookings!$E$5:$E$304,"&lt;="&amp;$D$3,Bookings!$F$5:$F$304,"&gt;="&amp;$B$3,Bookings!$G$5:$G$304,"Checked out"))</x:f>
      </x:c>
      <x:c r="E20" s="66" t="str">
        <x:f>IF(OR(A20="",C20="",$B$3="",$D$3="",$D$3&lt;$B$3),"",MAX(0,C20-D20))</x:f>
      </x:c>
      <x:c r="F20" s="72" t="str">
        <x:f>IF(A20="","",IFERROR(VLOOKUP(A20,Inventory!$A$5:$F$104,5,FALSE),""))</x:f>
      </x:c>
      <x:c r="G20" s="46" t="str">
        <x:f>IF(A20="","",IF(OR($B$3="",$D$3="",$D$3&lt;$B$3),"Check dates",IF(E20&lt;=0,"Unavailable",IF(E20&lt;C20,"Limited","Available"))))</x:f>
      </x:c>
    </x:row>
    <x:row r="21">
      <x:c r="A21" s="44" t="str">
        <x:f>IF(Inventory!A16="","",Inventory!A16)</x:f>
      </x:c>
      <x:c r="B21" s="45" t="str">
        <x:f>IF(A21="","",IFERROR(VLOOKUP(A21,Inventory!$A$5:$F$104,2,FALSE),""))</x:f>
      </x:c>
      <x:c r="C21" s="66" t="str">
        <x:f>IF(A21="","",IFERROR(VLOOKUP(A21,Inventory!$A$5:$F$104,4,FALSE),""))</x:f>
      </x:c>
      <x:c r="D21" s="66" t="str">
        <x:f>IF(OR(A21="",$B$3="",$D$3="",$D$3&lt;$B$3),"",SUMIFS(Bookings!$D$5:$D$304,Bookings!$C$5:$C$304,A21,Bookings!$E$5:$E$304,"&lt;="&amp;$D$3,Bookings!$F$5:$F$304,"&gt;="&amp;$B$3,Bookings!$G$5:$G$304,"Reserved")+SUMIFS(Bookings!$D$5:$D$304,Bookings!$C$5:$C$304,A21,Bookings!$E$5:$E$304,"&lt;="&amp;$D$3,Bookings!$F$5:$F$304,"&gt;="&amp;$B$3,Bookings!$G$5:$G$304,"Checked out"))</x:f>
      </x:c>
      <x:c r="E21" s="66" t="str">
        <x:f>IF(OR(A21="",C21="",$B$3="",$D$3="",$D$3&lt;$B$3),"",MAX(0,C21-D21))</x:f>
      </x:c>
      <x:c r="F21" s="72" t="str">
        <x:f>IF(A21="","",IFERROR(VLOOKUP(A21,Inventory!$A$5:$F$104,5,FALSE),""))</x:f>
      </x:c>
      <x:c r="G21" s="46" t="str">
        <x:f>IF(A21="","",IF(OR($B$3="",$D$3="",$D$3&lt;$B$3),"Check dates",IF(E21&lt;=0,"Unavailable",IF(E21&lt;C21,"Limited","Available"))))</x:f>
      </x:c>
    </x:row>
    <x:row r="22">
      <x:c r="A22" s="44" t="str">
        <x:f>IF(Inventory!A17="","",Inventory!A17)</x:f>
      </x:c>
      <x:c r="B22" s="45" t="str">
        <x:f>IF(A22="","",IFERROR(VLOOKUP(A22,Inventory!$A$5:$F$104,2,FALSE),""))</x:f>
      </x:c>
      <x:c r="C22" s="66" t="str">
        <x:f>IF(A22="","",IFERROR(VLOOKUP(A22,Inventory!$A$5:$F$104,4,FALSE),""))</x:f>
      </x:c>
      <x:c r="D22" s="66" t="str">
        <x:f>IF(OR(A22="",$B$3="",$D$3="",$D$3&lt;$B$3),"",SUMIFS(Bookings!$D$5:$D$304,Bookings!$C$5:$C$304,A22,Bookings!$E$5:$E$304,"&lt;="&amp;$D$3,Bookings!$F$5:$F$304,"&gt;="&amp;$B$3,Bookings!$G$5:$G$304,"Reserved")+SUMIFS(Bookings!$D$5:$D$304,Bookings!$C$5:$C$304,A22,Bookings!$E$5:$E$304,"&lt;="&amp;$D$3,Bookings!$F$5:$F$304,"&gt;="&amp;$B$3,Bookings!$G$5:$G$304,"Checked out"))</x:f>
      </x:c>
      <x:c r="E22" s="66" t="str">
        <x:f>IF(OR(A22="",C22="",$B$3="",$D$3="",$D$3&lt;$B$3),"",MAX(0,C22-D22))</x:f>
      </x:c>
      <x:c r="F22" s="72" t="str">
        <x:f>IF(A22="","",IFERROR(VLOOKUP(A22,Inventory!$A$5:$F$104,5,FALSE),""))</x:f>
      </x:c>
      <x:c r="G22" s="46" t="str">
        <x:f>IF(A22="","",IF(OR($B$3="",$D$3="",$D$3&lt;$B$3),"Check dates",IF(E22&lt;=0,"Unavailable",IF(E22&lt;C22,"Limited","Available"))))</x:f>
      </x:c>
    </x:row>
    <x:row r="23">
      <x:c r="A23" s="44" t="str">
        <x:f>IF(Inventory!A18="","",Inventory!A18)</x:f>
      </x:c>
      <x:c r="B23" s="45" t="str">
        <x:f>IF(A23="","",IFERROR(VLOOKUP(A23,Inventory!$A$5:$F$104,2,FALSE),""))</x:f>
      </x:c>
      <x:c r="C23" s="66" t="str">
        <x:f>IF(A23="","",IFERROR(VLOOKUP(A23,Inventory!$A$5:$F$104,4,FALSE),""))</x:f>
      </x:c>
      <x:c r="D23" s="66" t="str">
        <x:f>IF(OR(A23="",$B$3="",$D$3="",$D$3&lt;$B$3),"",SUMIFS(Bookings!$D$5:$D$304,Bookings!$C$5:$C$304,A23,Bookings!$E$5:$E$304,"&lt;="&amp;$D$3,Bookings!$F$5:$F$304,"&gt;="&amp;$B$3,Bookings!$G$5:$G$304,"Reserved")+SUMIFS(Bookings!$D$5:$D$304,Bookings!$C$5:$C$304,A23,Bookings!$E$5:$E$304,"&lt;="&amp;$D$3,Bookings!$F$5:$F$304,"&gt;="&amp;$B$3,Bookings!$G$5:$G$304,"Checked out"))</x:f>
      </x:c>
      <x:c r="E23" s="66" t="str">
        <x:f>IF(OR(A23="",C23="",$B$3="",$D$3="",$D$3&lt;$B$3),"",MAX(0,C23-D23))</x:f>
      </x:c>
      <x:c r="F23" s="72" t="str">
        <x:f>IF(A23="","",IFERROR(VLOOKUP(A23,Inventory!$A$5:$F$104,5,FALSE),""))</x:f>
      </x:c>
      <x:c r="G23" s="46" t="str">
        <x:f>IF(A23="","",IF(OR($B$3="",$D$3="",$D$3&lt;$B$3),"Check dates",IF(E23&lt;=0,"Unavailable",IF(E23&lt;C23,"Limited","Available"))))</x:f>
      </x:c>
    </x:row>
    <x:row r="24">
      <x:c r="A24" s="44" t="str">
        <x:f>IF(Inventory!A19="","",Inventory!A19)</x:f>
      </x:c>
      <x:c r="B24" s="45" t="str">
        <x:f>IF(A24="","",IFERROR(VLOOKUP(A24,Inventory!$A$5:$F$104,2,FALSE),""))</x:f>
      </x:c>
      <x:c r="C24" s="66" t="str">
        <x:f>IF(A24="","",IFERROR(VLOOKUP(A24,Inventory!$A$5:$F$104,4,FALSE),""))</x:f>
      </x:c>
      <x:c r="D24" s="66" t="str">
        <x:f>IF(OR(A24="",$B$3="",$D$3="",$D$3&lt;$B$3),"",SUMIFS(Bookings!$D$5:$D$304,Bookings!$C$5:$C$304,A24,Bookings!$E$5:$E$304,"&lt;="&amp;$D$3,Bookings!$F$5:$F$304,"&gt;="&amp;$B$3,Bookings!$G$5:$G$304,"Reserved")+SUMIFS(Bookings!$D$5:$D$304,Bookings!$C$5:$C$304,A24,Bookings!$E$5:$E$304,"&lt;="&amp;$D$3,Bookings!$F$5:$F$304,"&gt;="&amp;$B$3,Bookings!$G$5:$G$304,"Checked out"))</x:f>
      </x:c>
      <x:c r="E24" s="66" t="str">
        <x:f>IF(OR(A24="",C24="",$B$3="",$D$3="",$D$3&lt;$B$3),"",MAX(0,C24-D24))</x:f>
      </x:c>
      <x:c r="F24" s="72" t="str">
        <x:f>IF(A24="","",IFERROR(VLOOKUP(A24,Inventory!$A$5:$F$104,5,FALSE),""))</x:f>
      </x:c>
      <x:c r="G24" s="46" t="str">
        <x:f>IF(A24="","",IF(OR($B$3="",$D$3="",$D$3&lt;$B$3),"Check dates",IF(E24&lt;=0,"Unavailable",IF(E24&lt;C24,"Limited","Available"))))</x:f>
      </x:c>
    </x:row>
    <x:row r="25">
      <x:c r="A25" s="44" t="str">
        <x:f>IF(Inventory!A20="","",Inventory!A20)</x:f>
      </x:c>
      <x:c r="B25" s="45" t="str">
        <x:f>IF(A25="","",IFERROR(VLOOKUP(A25,Inventory!$A$5:$F$104,2,FALSE),""))</x:f>
      </x:c>
      <x:c r="C25" s="66" t="str">
        <x:f>IF(A25="","",IFERROR(VLOOKUP(A25,Inventory!$A$5:$F$104,4,FALSE),""))</x:f>
      </x:c>
      <x:c r="D25" s="66" t="str">
        <x:f>IF(OR(A25="",$B$3="",$D$3="",$D$3&lt;$B$3),"",SUMIFS(Bookings!$D$5:$D$304,Bookings!$C$5:$C$304,A25,Bookings!$E$5:$E$304,"&lt;="&amp;$D$3,Bookings!$F$5:$F$304,"&gt;="&amp;$B$3,Bookings!$G$5:$G$304,"Reserved")+SUMIFS(Bookings!$D$5:$D$304,Bookings!$C$5:$C$304,A25,Bookings!$E$5:$E$304,"&lt;="&amp;$D$3,Bookings!$F$5:$F$304,"&gt;="&amp;$B$3,Bookings!$G$5:$G$304,"Checked out"))</x:f>
      </x:c>
      <x:c r="E25" s="66" t="str">
        <x:f>IF(OR(A25="",C25="",$B$3="",$D$3="",$D$3&lt;$B$3),"",MAX(0,C25-D25))</x:f>
      </x:c>
      <x:c r="F25" s="72" t="str">
        <x:f>IF(A25="","",IFERROR(VLOOKUP(A25,Inventory!$A$5:$F$104,5,FALSE),""))</x:f>
      </x:c>
      <x:c r="G25" s="46" t="str">
        <x:f>IF(A25="","",IF(OR($B$3="",$D$3="",$D$3&lt;$B$3),"Check dates",IF(E25&lt;=0,"Unavailable",IF(E25&lt;C25,"Limited","Available"))))</x:f>
      </x:c>
    </x:row>
    <x:row r="26">
      <x:c r="A26" s="44" t="str">
        <x:f>IF(Inventory!A21="","",Inventory!A21)</x:f>
      </x:c>
      <x:c r="B26" s="45" t="str">
        <x:f>IF(A26="","",IFERROR(VLOOKUP(A26,Inventory!$A$5:$F$104,2,FALSE),""))</x:f>
      </x:c>
      <x:c r="C26" s="66" t="str">
        <x:f>IF(A26="","",IFERROR(VLOOKUP(A26,Inventory!$A$5:$F$104,4,FALSE),""))</x:f>
      </x:c>
      <x:c r="D26" s="66" t="str">
        <x:f>IF(OR(A26="",$B$3="",$D$3="",$D$3&lt;$B$3),"",SUMIFS(Bookings!$D$5:$D$304,Bookings!$C$5:$C$304,A26,Bookings!$E$5:$E$304,"&lt;="&amp;$D$3,Bookings!$F$5:$F$304,"&gt;="&amp;$B$3,Bookings!$G$5:$G$304,"Reserved")+SUMIFS(Bookings!$D$5:$D$304,Bookings!$C$5:$C$304,A26,Bookings!$E$5:$E$304,"&lt;="&amp;$D$3,Bookings!$F$5:$F$304,"&gt;="&amp;$B$3,Bookings!$G$5:$G$304,"Checked out"))</x:f>
      </x:c>
      <x:c r="E26" s="66" t="str">
        <x:f>IF(OR(A26="",C26="",$B$3="",$D$3="",$D$3&lt;$B$3),"",MAX(0,C26-D26))</x:f>
      </x:c>
      <x:c r="F26" s="72" t="str">
        <x:f>IF(A26="","",IFERROR(VLOOKUP(A26,Inventory!$A$5:$F$104,5,FALSE),""))</x:f>
      </x:c>
      <x:c r="G26" s="46" t="str">
        <x:f>IF(A26="","",IF(OR($B$3="",$D$3="",$D$3&lt;$B$3),"Check dates",IF(E26&lt;=0,"Unavailable",IF(E26&lt;C26,"Limited","Available"))))</x:f>
      </x:c>
    </x:row>
    <x:row r="27">
      <x:c r="A27" s="44" t="str">
        <x:f>IF(Inventory!A22="","",Inventory!A22)</x:f>
      </x:c>
      <x:c r="B27" s="45" t="str">
        <x:f>IF(A27="","",IFERROR(VLOOKUP(A27,Inventory!$A$5:$F$104,2,FALSE),""))</x:f>
      </x:c>
      <x:c r="C27" s="66" t="str">
        <x:f>IF(A27="","",IFERROR(VLOOKUP(A27,Inventory!$A$5:$F$104,4,FALSE),""))</x:f>
      </x:c>
      <x:c r="D27" s="66" t="str">
        <x:f>IF(OR(A27="",$B$3="",$D$3="",$D$3&lt;$B$3),"",SUMIFS(Bookings!$D$5:$D$304,Bookings!$C$5:$C$304,A27,Bookings!$E$5:$E$304,"&lt;="&amp;$D$3,Bookings!$F$5:$F$304,"&gt;="&amp;$B$3,Bookings!$G$5:$G$304,"Reserved")+SUMIFS(Bookings!$D$5:$D$304,Bookings!$C$5:$C$304,A27,Bookings!$E$5:$E$304,"&lt;="&amp;$D$3,Bookings!$F$5:$F$304,"&gt;="&amp;$B$3,Bookings!$G$5:$G$304,"Checked out"))</x:f>
      </x:c>
      <x:c r="E27" s="66" t="str">
        <x:f>IF(OR(A27="",C27="",$B$3="",$D$3="",$D$3&lt;$B$3),"",MAX(0,C27-D27))</x:f>
      </x:c>
      <x:c r="F27" s="72" t="str">
        <x:f>IF(A27="","",IFERROR(VLOOKUP(A27,Inventory!$A$5:$F$104,5,FALSE),""))</x:f>
      </x:c>
      <x:c r="G27" s="46" t="str">
        <x:f>IF(A27="","",IF(OR($B$3="",$D$3="",$D$3&lt;$B$3),"Check dates",IF(E27&lt;=0,"Unavailable",IF(E27&lt;C27,"Limited","Available"))))</x:f>
      </x:c>
    </x:row>
    <x:row r="28">
      <x:c r="A28" s="44" t="str">
        <x:f>IF(Inventory!A23="","",Inventory!A23)</x:f>
      </x:c>
      <x:c r="B28" s="45" t="str">
        <x:f>IF(A28="","",IFERROR(VLOOKUP(A28,Inventory!$A$5:$F$104,2,FALSE),""))</x:f>
      </x:c>
      <x:c r="C28" s="66" t="str">
        <x:f>IF(A28="","",IFERROR(VLOOKUP(A28,Inventory!$A$5:$F$104,4,FALSE),""))</x:f>
      </x:c>
      <x:c r="D28" s="66" t="str">
        <x:f>IF(OR(A28="",$B$3="",$D$3="",$D$3&lt;$B$3),"",SUMIFS(Bookings!$D$5:$D$304,Bookings!$C$5:$C$304,A28,Bookings!$E$5:$E$304,"&lt;="&amp;$D$3,Bookings!$F$5:$F$304,"&gt;="&amp;$B$3,Bookings!$G$5:$G$304,"Reserved")+SUMIFS(Bookings!$D$5:$D$304,Bookings!$C$5:$C$304,A28,Bookings!$E$5:$E$304,"&lt;="&amp;$D$3,Bookings!$F$5:$F$304,"&gt;="&amp;$B$3,Bookings!$G$5:$G$304,"Checked out"))</x:f>
      </x:c>
      <x:c r="E28" s="66" t="str">
        <x:f>IF(OR(A28="",C28="",$B$3="",$D$3="",$D$3&lt;$B$3),"",MAX(0,C28-D28))</x:f>
      </x:c>
      <x:c r="F28" s="72" t="str">
        <x:f>IF(A28="","",IFERROR(VLOOKUP(A28,Inventory!$A$5:$F$104,5,FALSE),""))</x:f>
      </x:c>
      <x:c r="G28" s="46" t="str">
        <x:f>IF(A28="","",IF(OR($B$3="",$D$3="",$D$3&lt;$B$3),"Check dates",IF(E28&lt;=0,"Unavailable",IF(E28&lt;C28,"Limited","Available"))))</x:f>
      </x:c>
    </x:row>
    <x:row r="29">
      <x:c r="A29" s="44" t="str">
        <x:f>IF(Inventory!A24="","",Inventory!A24)</x:f>
      </x:c>
      <x:c r="B29" s="45" t="str">
        <x:f>IF(A29="","",IFERROR(VLOOKUP(A29,Inventory!$A$5:$F$104,2,FALSE),""))</x:f>
      </x:c>
      <x:c r="C29" s="66" t="str">
        <x:f>IF(A29="","",IFERROR(VLOOKUP(A29,Inventory!$A$5:$F$104,4,FALSE),""))</x:f>
      </x:c>
      <x:c r="D29" s="66" t="str">
        <x:f>IF(OR(A29="",$B$3="",$D$3="",$D$3&lt;$B$3),"",SUMIFS(Bookings!$D$5:$D$304,Bookings!$C$5:$C$304,A29,Bookings!$E$5:$E$304,"&lt;="&amp;$D$3,Bookings!$F$5:$F$304,"&gt;="&amp;$B$3,Bookings!$G$5:$G$304,"Reserved")+SUMIFS(Bookings!$D$5:$D$304,Bookings!$C$5:$C$304,A29,Bookings!$E$5:$E$304,"&lt;="&amp;$D$3,Bookings!$F$5:$F$304,"&gt;="&amp;$B$3,Bookings!$G$5:$G$304,"Checked out"))</x:f>
      </x:c>
      <x:c r="E29" s="66" t="str">
        <x:f>IF(OR(A29="",C29="",$B$3="",$D$3="",$D$3&lt;$B$3),"",MAX(0,C29-D29))</x:f>
      </x:c>
      <x:c r="F29" s="72" t="str">
        <x:f>IF(A29="","",IFERROR(VLOOKUP(A29,Inventory!$A$5:$F$104,5,FALSE),""))</x:f>
      </x:c>
      <x:c r="G29" s="46" t="str">
        <x:f>IF(A29="","",IF(OR($B$3="",$D$3="",$D$3&lt;$B$3),"Check dates",IF(E29&lt;=0,"Unavailable",IF(E29&lt;C29,"Limited","Available"))))</x:f>
      </x:c>
    </x:row>
    <x:row r="30">
      <x:c r="A30" s="44" t="str">
        <x:f>IF(Inventory!A25="","",Inventory!A25)</x:f>
      </x:c>
      <x:c r="B30" s="45" t="str">
        <x:f>IF(A30="","",IFERROR(VLOOKUP(A30,Inventory!$A$5:$F$104,2,FALSE),""))</x:f>
      </x:c>
      <x:c r="C30" s="66" t="str">
        <x:f>IF(A30="","",IFERROR(VLOOKUP(A30,Inventory!$A$5:$F$104,4,FALSE),""))</x:f>
      </x:c>
      <x:c r="D30" s="66" t="str">
        <x:f>IF(OR(A30="",$B$3="",$D$3="",$D$3&lt;$B$3),"",SUMIFS(Bookings!$D$5:$D$304,Bookings!$C$5:$C$304,A30,Bookings!$E$5:$E$304,"&lt;="&amp;$D$3,Bookings!$F$5:$F$304,"&gt;="&amp;$B$3,Bookings!$G$5:$G$304,"Reserved")+SUMIFS(Bookings!$D$5:$D$304,Bookings!$C$5:$C$304,A30,Bookings!$E$5:$E$304,"&lt;="&amp;$D$3,Bookings!$F$5:$F$304,"&gt;="&amp;$B$3,Bookings!$G$5:$G$304,"Checked out"))</x:f>
      </x:c>
      <x:c r="E30" s="66" t="str">
        <x:f>IF(OR(A30="",C30="",$B$3="",$D$3="",$D$3&lt;$B$3),"",MAX(0,C30-D30))</x:f>
      </x:c>
      <x:c r="F30" s="72" t="str">
        <x:f>IF(A30="","",IFERROR(VLOOKUP(A30,Inventory!$A$5:$F$104,5,FALSE),""))</x:f>
      </x:c>
      <x:c r="G30" s="46" t="str">
        <x:f>IF(A30="","",IF(OR($B$3="",$D$3="",$D$3&lt;$B$3),"Check dates",IF(E30&lt;=0,"Unavailable",IF(E30&lt;C30,"Limited","Available"))))</x:f>
      </x:c>
    </x:row>
    <x:row r="31">
      <x:c r="A31" s="44" t="str">
        <x:f>IF(Inventory!A26="","",Inventory!A26)</x:f>
      </x:c>
      <x:c r="B31" s="45" t="str">
        <x:f>IF(A31="","",IFERROR(VLOOKUP(A31,Inventory!$A$5:$F$104,2,FALSE),""))</x:f>
      </x:c>
      <x:c r="C31" s="66" t="str">
        <x:f>IF(A31="","",IFERROR(VLOOKUP(A31,Inventory!$A$5:$F$104,4,FALSE),""))</x:f>
      </x:c>
      <x:c r="D31" s="66" t="str">
        <x:f>IF(OR(A31="",$B$3="",$D$3="",$D$3&lt;$B$3),"",SUMIFS(Bookings!$D$5:$D$304,Bookings!$C$5:$C$304,A31,Bookings!$E$5:$E$304,"&lt;="&amp;$D$3,Bookings!$F$5:$F$304,"&gt;="&amp;$B$3,Bookings!$G$5:$G$304,"Reserved")+SUMIFS(Bookings!$D$5:$D$304,Bookings!$C$5:$C$304,A31,Bookings!$E$5:$E$304,"&lt;="&amp;$D$3,Bookings!$F$5:$F$304,"&gt;="&amp;$B$3,Bookings!$G$5:$G$304,"Checked out"))</x:f>
      </x:c>
      <x:c r="E31" s="66" t="str">
        <x:f>IF(OR(A31="",C31="",$B$3="",$D$3="",$D$3&lt;$B$3),"",MAX(0,C31-D31))</x:f>
      </x:c>
      <x:c r="F31" s="72" t="str">
        <x:f>IF(A31="","",IFERROR(VLOOKUP(A31,Inventory!$A$5:$F$104,5,FALSE),""))</x:f>
      </x:c>
      <x:c r="G31" s="46" t="str">
        <x:f>IF(A31="","",IF(OR($B$3="",$D$3="",$D$3&lt;$B$3),"Check dates",IF(E31&lt;=0,"Unavailable",IF(E31&lt;C31,"Limited","Available"))))</x:f>
      </x:c>
    </x:row>
    <x:row r="32">
      <x:c r="A32" s="44" t="str">
        <x:f>IF(Inventory!A27="","",Inventory!A27)</x:f>
      </x:c>
      <x:c r="B32" s="45" t="str">
        <x:f>IF(A32="","",IFERROR(VLOOKUP(A32,Inventory!$A$5:$F$104,2,FALSE),""))</x:f>
      </x:c>
      <x:c r="C32" s="66" t="str">
        <x:f>IF(A32="","",IFERROR(VLOOKUP(A32,Inventory!$A$5:$F$104,4,FALSE),""))</x:f>
      </x:c>
      <x:c r="D32" s="66" t="str">
        <x:f>IF(OR(A32="",$B$3="",$D$3="",$D$3&lt;$B$3),"",SUMIFS(Bookings!$D$5:$D$304,Bookings!$C$5:$C$304,A32,Bookings!$E$5:$E$304,"&lt;="&amp;$D$3,Bookings!$F$5:$F$304,"&gt;="&amp;$B$3,Bookings!$G$5:$G$304,"Reserved")+SUMIFS(Bookings!$D$5:$D$304,Bookings!$C$5:$C$304,A32,Bookings!$E$5:$E$304,"&lt;="&amp;$D$3,Bookings!$F$5:$F$304,"&gt;="&amp;$B$3,Bookings!$G$5:$G$304,"Checked out"))</x:f>
      </x:c>
      <x:c r="E32" s="66" t="str">
        <x:f>IF(OR(A32="",C32="",$B$3="",$D$3="",$D$3&lt;$B$3),"",MAX(0,C32-D32))</x:f>
      </x:c>
      <x:c r="F32" s="72" t="str">
        <x:f>IF(A32="","",IFERROR(VLOOKUP(A32,Inventory!$A$5:$F$104,5,FALSE),""))</x:f>
      </x:c>
      <x:c r="G32" s="46" t="str">
        <x:f>IF(A32="","",IF(OR($B$3="",$D$3="",$D$3&lt;$B$3),"Check dates",IF(E32&lt;=0,"Unavailable",IF(E32&lt;C32,"Limited","Available"))))</x:f>
      </x:c>
    </x:row>
    <x:row r="33">
      <x:c r="A33" s="44" t="str">
        <x:f>IF(Inventory!A28="","",Inventory!A28)</x:f>
      </x:c>
      <x:c r="B33" s="45" t="str">
        <x:f>IF(A33="","",IFERROR(VLOOKUP(A33,Inventory!$A$5:$F$104,2,FALSE),""))</x:f>
      </x:c>
      <x:c r="C33" s="66" t="str">
        <x:f>IF(A33="","",IFERROR(VLOOKUP(A33,Inventory!$A$5:$F$104,4,FALSE),""))</x:f>
      </x:c>
      <x:c r="D33" s="66" t="str">
        <x:f>IF(OR(A33="",$B$3="",$D$3="",$D$3&lt;$B$3),"",SUMIFS(Bookings!$D$5:$D$304,Bookings!$C$5:$C$304,A33,Bookings!$E$5:$E$304,"&lt;="&amp;$D$3,Bookings!$F$5:$F$304,"&gt;="&amp;$B$3,Bookings!$G$5:$G$304,"Reserved")+SUMIFS(Bookings!$D$5:$D$304,Bookings!$C$5:$C$304,A33,Bookings!$E$5:$E$304,"&lt;="&amp;$D$3,Bookings!$F$5:$F$304,"&gt;="&amp;$B$3,Bookings!$G$5:$G$304,"Checked out"))</x:f>
      </x:c>
      <x:c r="E33" s="66" t="str">
        <x:f>IF(OR(A33="",C33="",$B$3="",$D$3="",$D$3&lt;$B$3),"",MAX(0,C33-D33))</x:f>
      </x:c>
      <x:c r="F33" s="72" t="str">
        <x:f>IF(A33="","",IFERROR(VLOOKUP(A33,Inventory!$A$5:$F$104,5,FALSE),""))</x:f>
      </x:c>
      <x:c r="G33" s="46" t="str">
        <x:f>IF(A33="","",IF(OR($B$3="",$D$3="",$D$3&lt;$B$3),"Check dates",IF(E33&lt;=0,"Unavailable",IF(E33&lt;C33,"Limited","Available"))))</x:f>
      </x:c>
    </x:row>
    <x:row r="34">
      <x:c r="A34" s="44" t="str">
        <x:f>IF(Inventory!A29="","",Inventory!A29)</x:f>
      </x:c>
      <x:c r="B34" s="45" t="str">
        <x:f>IF(A34="","",IFERROR(VLOOKUP(A34,Inventory!$A$5:$F$104,2,FALSE),""))</x:f>
      </x:c>
      <x:c r="C34" s="66" t="str">
        <x:f>IF(A34="","",IFERROR(VLOOKUP(A34,Inventory!$A$5:$F$104,4,FALSE),""))</x:f>
      </x:c>
      <x:c r="D34" s="66" t="str">
        <x:f>IF(OR(A34="",$B$3="",$D$3="",$D$3&lt;$B$3),"",SUMIFS(Bookings!$D$5:$D$304,Bookings!$C$5:$C$304,A34,Bookings!$E$5:$E$304,"&lt;="&amp;$D$3,Bookings!$F$5:$F$304,"&gt;="&amp;$B$3,Bookings!$G$5:$G$304,"Reserved")+SUMIFS(Bookings!$D$5:$D$304,Bookings!$C$5:$C$304,A34,Bookings!$E$5:$E$304,"&lt;="&amp;$D$3,Bookings!$F$5:$F$304,"&gt;="&amp;$B$3,Bookings!$G$5:$G$304,"Checked out"))</x:f>
      </x:c>
      <x:c r="E34" s="66" t="str">
        <x:f>IF(OR(A34="",C34="",$B$3="",$D$3="",$D$3&lt;$B$3),"",MAX(0,C34-D34))</x:f>
      </x:c>
      <x:c r="F34" s="72" t="str">
        <x:f>IF(A34="","",IFERROR(VLOOKUP(A34,Inventory!$A$5:$F$104,5,FALSE),""))</x:f>
      </x:c>
      <x:c r="G34" s="46" t="str">
        <x:f>IF(A34="","",IF(OR($B$3="",$D$3="",$D$3&lt;$B$3),"Check dates",IF(E34&lt;=0,"Unavailable",IF(E34&lt;C34,"Limited","Available"))))</x:f>
      </x:c>
    </x:row>
    <x:row r="35">
      <x:c r="A35" s="44" t="str">
        <x:f>IF(Inventory!A30="","",Inventory!A30)</x:f>
      </x:c>
      <x:c r="B35" s="45" t="str">
        <x:f>IF(A35="","",IFERROR(VLOOKUP(A35,Inventory!$A$5:$F$104,2,FALSE),""))</x:f>
      </x:c>
      <x:c r="C35" s="66" t="str">
        <x:f>IF(A35="","",IFERROR(VLOOKUP(A35,Inventory!$A$5:$F$104,4,FALSE),""))</x:f>
      </x:c>
      <x:c r="D35" s="66" t="str">
        <x:f>IF(OR(A35="",$B$3="",$D$3="",$D$3&lt;$B$3),"",SUMIFS(Bookings!$D$5:$D$304,Bookings!$C$5:$C$304,A35,Bookings!$E$5:$E$304,"&lt;="&amp;$D$3,Bookings!$F$5:$F$304,"&gt;="&amp;$B$3,Bookings!$G$5:$G$304,"Reserved")+SUMIFS(Bookings!$D$5:$D$304,Bookings!$C$5:$C$304,A35,Bookings!$E$5:$E$304,"&lt;="&amp;$D$3,Bookings!$F$5:$F$304,"&gt;="&amp;$B$3,Bookings!$G$5:$G$304,"Checked out"))</x:f>
      </x:c>
      <x:c r="E35" s="66" t="str">
        <x:f>IF(OR(A35="",C35="",$B$3="",$D$3="",$D$3&lt;$B$3),"",MAX(0,C35-D35))</x:f>
      </x:c>
      <x:c r="F35" s="72" t="str">
        <x:f>IF(A35="","",IFERROR(VLOOKUP(A35,Inventory!$A$5:$F$104,5,FALSE),""))</x:f>
      </x:c>
      <x:c r="G35" s="46" t="str">
        <x:f>IF(A35="","",IF(OR($B$3="",$D$3="",$D$3&lt;$B$3),"Check dates",IF(E35&lt;=0,"Unavailable",IF(E35&lt;C35,"Limited","Available"))))</x:f>
      </x:c>
    </x:row>
    <x:row r="36">
      <x:c r="A36" s="44" t="str">
        <x:f>IF(Inventory!A31="","",Inventory!A31)</x:f>
      </x:c>
      <x:c r="B36" s="45" t="str">
        <x:f>IF(A36="","",IFERROR(VLOOKUP(A36,Inventory!$A$5:$F$104,2,FALSE),""))</x:f>
      </x:c>
      <x:c r="C36" s="66" t="str">
        <x:f>IF(A36="","",IFERROR(VLOOKUP(A36,Inventory!$A$5:$F$104,4,FALSE),""))</x:f>
      </x:c>
      <x:c r="D36" s="66" t="str">
        <x:f>IF(OR(A36="",$B$3="",$D$3="",$D$3&lt;$B$3),"",SUMIFS(Bookings!$D$5:$D$304,Bookings!$C$5:$C$304,A36,Bookings!$E$5:$E$304,"&lt;="&amp;$D$3,Bookings!$F$5:$F$304,"&gt;="&amp;$B$3,Bookings!$G$5:$G$304,"Reserved")+SUMIFS(Bookings!$D$5:$D$304,Bookings!$C$5:$C$304,A36,Bookings!$E$5:$E$304,"&lt;="&amp;$D$3,Bookings!$F$5:$F$304,"&gt;="&amp;$B$3,Bookings!$G$5:$G$304,"Checked out"))</x:f>
      </x:c>
      <x:c r="E36" s="66" t="str">
        <x:f>IF(OR(A36="",C36="",$B$3="",$D$3="",$D$3&lt;$B$3),"",MAX(0,C36-D36))</x:f>
      </x:c>
      <x:c r="F36" s="72" t="str">
        <x:f>IF(A36="","",IFERROR(VLOOKUP(A36,Inventory!$A$5:$F$104,5,FALSE),""))</x:f>
      </x:c>
      <x:c r="G36" s="46" t="str">
        <x:f>IF(A36="","",IF(OR($B$3="",$D$3="",$D$3&lt;$B$3),"Check dates",IF(E36&lt;=0,"Unavailable",IF(E36&lt;C36,"Limited","Available"))))</x:f>
      </x:c>
    </x:row>
    <x:row r="37">
      <x:c r="A37" s="44" t="str">
        <x:f>IF(Inventory!A32="","",Inventory!A32)</x:f>
      </x:c>
      <x:c r="B37" s="45" t="str">
        <x:f>IF(A37="","",IFERROR(VLOOKUP(A37,Inventory!$A$5:$F$104,2,FALSE),""))</x:f>
      </x:c>
      <x:c r="C37" s="66" t="str">
        <x:f>IF(A37="","",IFERROR(VLOOKUP(A37,Inventory!$A$5:$F$104,4,FALSE),""))</x:f>
      </x:c>
      <x:c r="D37" s="66" t="str">
        <x:f>IF(OR(A37="",$B$3="",$D$3="",$D$3&lt;$B$3),"",SUMIFS(Bookings!$D$5:$D$304,Bookings!$C$5:$C$304,A37,Bookings!$E$5:$E$304,"&lt;="&amp;$D$3,Bookings!$F$5:$F$304,"&gt;="&amp;$B$3,Bookings!$G$5:$G$304,"Reserved")+SUMIFS(Bookings!$D$5:$D$304,Bookings!$C$5:$C$304,A37,Bookings!$E$5:$E$304,"&lt;="&amp;$D$3,Bookings!$F$5:$F$304,"&gt;="&amp;$B$3,Bookings!$G$5:$G$304,"Checked out"))</x:f>
      </x:c>
      <x:c r="E37" s="66" t="str">
        <x:f>IF(OR(A37="",C37="",$B$3="",$D$3="",$D$3&lt;$B$3),"",MAX(0,C37-D37))</x:f>
      </x:c>
      <x:c r="F37" s="72" t="str">
        <x:f>IF(A37="","",IFERROR(VLOOKUP(A37,Inventory!$A$5:$F$104,5,FALSE),""))</x:f>
      </x:c>
      <x:c r="G37" s="46" t="str">
        <x:f>IF(A37="","",IF(OR($B$3="",$D$3="",$D$3&lt;$B$3),"Check dates",IF(E37&lt;=0,"Unavailable",IF(E37&lt;C37,"Limited","Available"))))</x:f>
      </x:c>
    </x:row>
    <x:row r="38">
      <x:c r="A38" s="44" t="str">
        <x:f>IF(Inventory!A33="","",Inventory!A33)</x:f>
      </x:c>
      <x:c r="B38" s="45" t="str">
        <x:f>IF(A38="","",IFERROR(VLOOKUP(A38,Inventory!$A$5:$F$104,2,FALSE),""))</x:f>
      </x:c>
      <x:c r="C38" s="66" t="str">
        <x:f>IF(A38="","",IFERROR(VLOOKUP(A38,Inventory!$A$5:$F$104,4,FALSE),""))</x:f>
      </x:c>
      <x:c r="D38" s="66" t="str">
        <x:f>IF(OR(A38="",$B$3="",$D$3="",$D$3&lt;$B$3),"",SUMIFS(Bookings!$D$5:$D$304,Bookings!$C$5:$C$304,A38,Bookings!$E$5:$E$304,"&lt;="&amp;$D$3,Bookings!$F$5:$F$304,"&gt;="&amp;$B$3,Bookings!$G$5:$G$304,"Reserved")+SUMIFS(Bookings!$D$5:$D$304,Bookings!$C$5:$C$304,A38,Bookings!$E$5:$E$304,"&lt;="&amp;$D$3,Bookings!$F$5:$F$304,"&gt;="&amp;$B$3,Bookings!$G$5:$G$304,"Checked out"))</x:f>
      </x:c>
      <x:c r="E38" s="66" t="str">
        <x:f>IF(OR(A38="",C38="",$B$3="",$D$3="",$D$3&lt;$B$3),"",MAX(0,C38-D38))</x:f>
      </x:c>
      <x:c r="F38" s="72" t="str">
        <x:f>IF(A38="","",IFERROR(VLOOKUP(A38,Inventory!$A$5:$F$104,5,FALSE),""))</x:f>
      </x:c>
      <x:c r="G38" s="46" t="str">
        <x:f>IF(A38="","",IF(OR($B$3="",$D$3="",$D$3&lt;$B$3),"Check dates",IF(E38&lt;=0,"Unavailable",IF(E38&lt;C38,"Limited","Available"))))</x:f>
      </x:c>
    </x:row>
    <x:row r="39">
      <x:c r="A39" s="44" t="str">
        <x:f>IF(Inventory!A34="","",Inventory!A34)</x:f>
      </x:c>
      <x:c r="B39" s="45" t="str">
        <x:f>IF(A39="","",IFERROR(VLOOKUP(A39,Inventory!$A$5:$F$104,2,FALSE),""))</x:f>
      </x:c>
      <x:c r="C39" s="66" t="str">
        <x:f>IF(A39="","",IFERROR(VLOOKUP(A39,Inventory!$A$5:$F$104,4,FALSE),""))</x:f>
      </x:c>
      <x:c r="D39" s="66" t="str">
        <x:f>IF(OR(A39="",$B$3="",$D$3="",$D$3&lt;$B$3),"",SUMIFS(Bookings!$D$5:$D$304,Bookings!$C$5:$C$304,A39,Bookings!$E$5:$E$304,"&lt;="&amp;$D$3,Bookings!$F$5:$F$304,"&gt;="&amp;$B$3,Bookings!$G$5:$G$304,"Reserved")+SUMIFS(Bookings!$D$5:$D$304,Bookings!$C$5:$C$304,A39,Bookings!$E$5:$E$304,"&lt;="&amp;$D$3,Bookings!$F$5:$F$304,"&gt;="&amp;$B$3,Bookings!$G$5:$G$304,"Checked out"))</x:f>
      </x:c>
      <x:c r="E39" s="66" t="str">
        <x:f>IF(OR(A39="",C39="",$B$3="",$D$3="",$D$3&lt;$B$3),"",MAX(0,C39-D39))</x:f>
      </x:c>
      <x:c r="F39" s="72" t="str">
        <x:f>IF(A39="","",IFERROR(VLOOKUP(A39,Inventory!$A$5:$F$104,5,FALSE),""))</x:f>
      </x:c>
      <x:c r="G39" s="46" t="str">
        <x:f>IF(A39="","",IF(OR($B$3="",$D$3="",$D$3&lt;$B$3),"Check dates",IF(E39&lt;=0,"Unavailable",IF(E39&lt;C39,"Limited","Available"))))</x:f>
      </x:c>
    </x:row>
    <x:row r="40">
      <x:c r="A40" s="44" t="str">
        <x:f>IF(Inventory!A35="","",Inventory!A35)</x:f>
      </x:c>
      <x:c r="B40" s="45" t="str">
        <x:f>IF(A40="","",IFERROR(VLOOKUP(A40,Inventory!$A$5:$F$104,2,FALSE),""))</x:f>
      </x:c>
      <x:c r="C40" s="66" t="str">
        <x:f>IF(A40="","",IFERROR(VLOOKUP(A40,Inventory!$A$5:$F$104,4,FALSE),""))</x:f>
      </x:c>
      <x:c r="D40" s="66" t="str">
        <x:f>IF(OR(A40="",$B$3="",$D$3="",$D$3&lt;$B$3),"",SUMIFS(Bookings!$D$5:$D$304,Bookings!$C$5:$C$304,A40,Bookings!$E$5:$E$304,"&lt;="&amp;$D$3,Bookings!$F$5:$F$304,"&gt;="&amp;$B$3,Bookings!$G$5:$G$304,"Reserved")+SUMIFS(Bookings!$D$5:$D$304,Bookings!$C$5:$C$304,A40,Bookings!$E$5:$E$304,"&lt;="&amp;$D$3,Bookings!$F$5:$F$304,"&gt;="&amp;$B$3,Bookings!$G$5:$G$304,"Checked out"))</x:f>
      </x:c>
      <x:c r="E40" s="66" t="str">
        <x:f>IF(OR(A40="",C40="",$B$3="",$D$3="",$D$3&lt;$B$3),"",MAX(0,C40-D40))</x:f>
      </x:c>
      <x:c r="F40" s="72" t="str">
        <x:f>IF(A40="","",IFERROR(VLOOKUP(A40,Inventory!$A$5:$F$104,5,FALSE),""))</x:f>
      </x:c>
      <x:c r="G40" s="46" t="str">
        <x:f>IF(A40="","",IF(OR($B$3="",$D$3="",$D$3&lt;$B$3),"Check dates",IF(E40&lt;=0,"Unavailable",IF(E40&lt;C40,"Limited","Available"))))</x:f>
      </x:c>
    </x:row>
    <x:row r="41">
      <x:c r="A41" s="44" t="str">
        <x:f>IF(Inventory!A36="","",Inventory!A36)</x:f>
      </x:c>
      <x:c r="B41" s="45" t="str">
        <x:f>IF(A41="","",IFERROR(VLOOKUP(A41,Inventory!$A$5:$F$104,2,FALSE),""))</x:f>
      </x:c>
      <x:c r="C41" s="66" t="str">
        <x:f>IF(A41="","",IFERROR(VLOOKUP(A41,Inventory!$A$5:$F$104,4,FALSE),""))</x:f>
      </x:c>
      <x:c r="D41" s="66" t="str">
        <x:f>IF(OR(A41="",$B$3="",$D$3="",$D$3&lt;$B$3),"",SUMIFS(Bookings!$D$5:$D$304,Bookings!$C$5:$C$304,A41,Bookings!$E$5:$E$304,"&lt;="&amp;$D$3,Bookings!$F$5:$F$304,"&gt;="&amp;$B$3,Bookings!$G$5:$G$304,"Reserved")+SUMIFS(Bookings!$D$5:$D$304,Bookings!$C$5:$C$304,A41,Bookings!$E$5:$E$304,"&lt;="&amp;$D$3,Bookings!$F$5:$F$304,"&gt;="&amp;$B$3,Bookings!$G$5:$G$304,"Checked out"))</x:f>
      </x:c>
      <x:c r="E41" s="66" t="str">
        <x:f>IF(OR(A41="",C41="",$B$3="",$D$3="",$D$3&lt;$B$3),"",MAX(0,C41-D41))</x:f>
      </x:c>
      <x:c r="F41" s="72" t="str">
        <x:f>IF(A41="","",IFERROR(VLOOKUP(A41,Inventory!$A$5:$F$104,5,FALSE),""))</x:f>
      </x:c>
      <x:c r="G41" s="46" t="str">
        <x:f>IF(A41="","",IF(OR($B$3="",$D$3="",$D$3&lt;$B$3),"Check dates",IF(E41&lt;=0,"Unavailable",IF(E41&lt;C41,"Limited","Available"))))</x:f>
      </x:c>
    </x:row>
    <x:row r="42">
      <x:c r="A42" s="44" t="str">
        <x:f>IF(Inventory!A37="","",Inventory!A37)</x:f>
      </x:c>
      <x:c r="B42" s="45" t="str">
        <x:f>IF(A42="","",IFERROR(VLOOKUP(A42,Inventory!$A$5:$F$104,2,FALSE),""))</x:f>
      </x:c>
      <x:c r="C42" s="66" t="str">
        <x:f>IF(A42="","",IFERROR(VLOOKUP(A42,Inventory!$A$5:$F$104,4,FALSE),""))</x:f>
      </x:c>
      <x:c r="D42" s="66" t="str">
        <x:f>IF(OR(A42="",$B$3="",$D$3="",$D$3&lt;$B$3),"",SUMIFS(Bookings!$D$5:$D$304,Bookings!$C$5:$C$304,A42,Bookings!$E$5:$E$304,"&lt;="&amp;$D$3,Bookings!$F$5:$F$304,"&gt;="&amp;$B$3,Bookings!$G$5:$G$304,"Reserved")+SUMIFS(Bookings!$D$5:$D$304,Bookings!$C$5:$C$304,A42,Bookings!$E$5:$E$304,"&lt;="&amp;$D$3,Bookings!$F$5:$F$304,"&gt;="&amp;$B$3,Bookings!$G$5:$G$304,"Checked out"))</x:f>
      </x:c>
      <x:c r="E42" s="66" t="str">
        <x:f>IF(OR(A42="",C42="",$B$3="",$D$3="",$D$3&lt;$B$3),"",MAX(0,C42-D42))</x:f>
      </x:c>
      <x:c r="F42" s="72" t="str">
        <x:f>IF(A42="","",IFERROR(VLOOKUP(A42,Inventory!$A$5:$F$104,5,FALSE),""))</x:f>
      </x:c>
      <x:c r="G42" s="46" t="str">
        <x:f>IF(A42="","",IF(OR($B$3="",$D$3="",$D$3&lt;$B$3),"Check dates",IF(E42&lt;=0,"Unavailable",IF(E42&lt;C42,"Limited","Available"))))</x:f>
      </x:c>
    </x:row>
    <x:row r="43">
      <x:c r="A43" s="44" t="str">
        <x:f>IF(Inventory!A38="","",Inventory!A38)</x:f>
      </x:c>
      <x:c r="B43" s="45" t="str">
        <x:f>IF(A43="","",IFERROR(VLOOKUP(A43,Inventory!$A$5:$F$104,2,FALSE),""))</x:f>
      </x:c>
      <x:c r="C43" s="66" t="str">
        <x:f>IF(A43="","",IFERROR(VLOOKUP(A43,Inventory!$A$5:$F$104,4,FALSE),""))</x:f>
      </x:c>
      <x:c r="D43" s="66" t="str">
        <x:f>IF(OR(A43="",$B$3="",$D$3="",$D$3&lt;$B$3),"",SUMIFS(Bookings!$D$5:$D$304,Bookings!$C$5:$C$304,A43,Bookings!$E$5:$E$304,"&lt;="&amp;$D$3,Bookings!$F$5:$F$304,"&gt;="&amp;$B$3,Bookings!$G$5:$G$304,"Reserved")+SUMIFS(Bookings!$D$5:$D$304,Bookings!$C$5:$C$304,A43,Bookings!$E$5:$E$304,"&lt;="&amp;$D$3,Bookings!$F$5:$F$304,"&gt;="&amp;$B$3,Bookings!$G$5:$G$304,"Checked out"))</x:f>
      </x:c>
      <x:c r="E43" s="66" t="str">
        <x:f>IF(OR(A43="",C43="",$B$3="",$D$3="",$D$3&lt;$B$3),"",MAX(0,C43-D43))</x:f>
      </x:c>
      <x:c r="F43" s="72" t="str">
        <x:f>IF(A43="","",IFERROR(VLOOKUP(A43,Inventory!$A$5:$F$104,5,FALSE),""))</x:f>
      </x:c>
      <x:c r="G43" s="46" t="str">
        <x:f>IF(A43="","",IF(OR($B$3="",$D$3="",$D$3&lt;$B$3),"Check dates",IF(E43&lt;=0,"Unavailable",IF(E43&lt;C43,"Limited","Available"))))</x:f>
      </x:c>
    </x:row>
    <x:row r="44">
      <x:c r="A44" s="44" t="str">
        <x:f>IF(Inventory!A39="","",Inventory!A39)</x:f>
      </x:c>
      <x:c r="B44" s="45" t="str">
        <x:f>IF(A44="","",IFERROR(VLOOKUP(A44,Inventory!$A$5:$F$104,2,FALSE),""))</x:f>
      </x:c>
      <x:c r="C44" s="66" t="str">
        <x:f>IF(A44="","",IFERROR(VLOOKUP(A44,Inventory!$A$5:$F$104,4,FALSE),""))</x:f>
      </x:c>
      <x:c r="D44" s="66" t="str">
        <x:f>IF(OR(A44="",$B$3="",$D$3="",$D$3&lt;$B$3),"",SUMIFS(Bookings!$D$5:$D$304,Bookings!$C$5:$C$304,A44,Bookings!$E$5:$E$304,"&lt;="&amp;$D$3,Bookings!$F$5:$F$304,"&gt;="&amp;$B$3,Bookings!$G$5:$G$304,"Reserved")+SUMIFS(Bookings!$D$5:$D$304,Bookings!$C$5:$C$304,A44,Bookings!$E$5:$E$304,"&lt;="&amp;$D$3,Bookings!$F$5:$F$304,"&gt;="&amp;$B$3,Bookings!$G$5:$G$304,"Checked out"))</x:f>
      </x:c>
      <x:c r="E44" s="66" t="str">
        <x:f>IF(OR(A44="",C44="",$B$3="",$D$3="",$D$3&lt;$B$3),"",MAX(0,C44-D44))</x:f>
      </x:c>
      <x:c r="F44" s="72" t="str">
        <x:f>IF(A44="","",IFERROR(VLOOKUP(A44,Inventory!$A$5:$F$104,5,FALSE),""))</x:f>
      </x:c>
      <x:c r="G44" s="46" t="str">
        <x:f>IF(A44="","",IF(OR($B$3="",$D$3="",$D$3&lt;$B$3),"Check dates",IF(E44&lt;=0,"Unavailable",IF(E44&lt;C44,"Limited","Available"))))</x:f>
      </x:c>
    </x:row>
    <x:row r="45">
      <x:c r="A45" s="44" t="str">
        <x:f>IF(Inventory!A40="","",Inventory!A40)</x:f>
      </x:c>
      <x:c r="B45" s="45" t="str">
        <x:f>IF(A45="","",IFERROR(VLOOKUP(A45,Inventory!$A$5:$F$104,2,FALSE),""))</x:f>
      </x:c>
      <x:c r="C45" s="66" t="str">
        <x:f>IF(A45="","",IFERROR(VLOOKUP(A45,Inventory!$A$5:$F$104,4,FALSE),""))</x:f>
      </x:c>
      <x:c r="D45" s="66" t="str">
        <x:f>IF(OR(A45="",$B$3="",$D$3="",$D$3&lt;$B$3),"",SUMIFS(Bookings!$D$5:$D$304,Bookings!$C$5:$C$304,A45,Bookings!$E$5:$E$304,"&lt;="&amp;$D$3,Bookings!$F$5:$F$304,"&gt;="&amp;$B$3,Bookings!$G$5:$G$304,"Reserved")+SUMIFS(Bookings!$D$5:$D$304,Bookings!$C$5:$C$304,A45,Bookings!$E$5:$E$304,"&lt;="&amp;$D$3,Bookings!$F$5:$F$304,"&gt;="&amp;$B$3,Bookings!$G$5:$G$304,"Checked out"))</x:f>
      </x:c>
      <x:c r="E45" s="66" t="str">
        <x:f>IF(OR(A45="",C45="",$B$3="",$D$3="",$D$3&lt;$B$3),"",MAX(0,C45-D45))</x:f>
      </x:c>
      <x:c r="F45" s="72" t="str">
        <x:f>IF(A45="","",IFERROR(VLOOKUP(A45,Inventory!$A$5:$F$104,5,FALSE),""))</x:f>
      </x:c>
      <x:c r="G45" s="46" t="str">
        <x:f>IF(A45="","",IF(OR($B$3="",$D$3="",$D$3&lt;$B$3),"Check dates",IF(E45&lt;=0,"Unavailable",IF(E45&lt;C45,"Limited","Available"))))</x:f>
      </x:c>
    </x:row>
    <x:row r="46">
      <x:c r="A46" s="44" t="str">
        <x:f>IF(Inventory!A41="","",Inventory!A41)</x:f>
      </x:c>
      <x:c r="B46" s="45" t="str">
        <x:f>IF(A46="","",IFERROR(VLOOKUP(A46,Inventory!$A$5:$F$104,2,FALSE),""))</x:f>
      </x:c>
      <x:c r="C46" s="66" t="str">
        <x:f>IF(A46="","",IFERROR(VLOOKUP(A46,Inventory!$A$5:$F$104,4,FALSE),""))</x:f>
      </x:c>
      <x:c r="D46" s="66" t="str">
        <x:f>IF(OR(A46="",$B$3="",$D$3="",$D$3&lt;$B$3),"",SUMIFS(Bookings!$D$5:$D$304,Bookings!$C$5:$C$304,A46,Bookings!$E$5:$E$304,"&lt;="&amp;$D$3,Bookings!$F$5:$F$304,"&gt;="&amp;$B$3,Bookings!$G$5:$G$304,"Reserved")+SUMIFS(Bookings!$D$5:$D$304,Bookings!$C$5:$C$304,A46,Bookings!$E$5:$E$304,"&lt;="&amp;$D$3,Bookings!$F$5:$F$304,"&gt;="&amp;$B$3,Bookings!$G$5:$G$304,"Checked out"))</x:f>
      </x:c>
      <x:c r="E46" s="66" t="str">
        <x:f>IF(OR(A46="",C46="",$B$3="",$D$3="",$D$3&lt;$B$3),"",MAX(0,C46-D46))</x:f>
      </x:c>
      <x:c r="F46" s="72" t="str">
        <x:f>IF(A46="","",IFERROR(VLOOKUP(A46,Inventory!$A$5:$F$104,5,FALSE),""))</x:f>
      </x:c>
      <x:c r="G46" s="46" t="str">
        <x:f>IF(A46="","",IF(OR($B$3="",$D$3="",$D$3&lt;$B$3),"Check dates",IF(E46&lt;=0,"Unavailable",IF(E46&lt;C46,"Limited","Available"))))</x:f>
      </x:c>
    </x:row>
    <x:row r="47">
      <x:c r="A47" s="44" t="str">
        <x:f>IF(Inventory!A42="","",Inventory!A42)</x:f>
      </x:c>
      <x:c r="B47" s="45" t="str">
        <x:f>IF(A47="","",IFERROR(VLOOKUP(A47,Inventory!$A$5:$F$104,2,FALSE),""))</x:f>
      </x:c>
      <x:c r="C47" s="66" t="str">
        <x:f>IF(A47="","",IFERROR(VLOOKUP(A47,Inventory!$A$5:$F$104,4,FALSE),""))</x:f>
      </x:c>
      <x:c r="D47" s="66" t="str">
        <x:f>IF(OR(A47="",$B$3="",$D$3="",$D$3&lt;$B$3),"",SUMIFS(Bookings!$D$5:$D$304,Bookings!$C$5:$C$304,A47,Bookings!$E$5:$E$304,"&lt;="&amp;$D$3,Bookings!$F$5:$F$304,"&gt;="&amp;$B$3,Bookings!$G$5:$G$304,"Reserved")+SUMIFS(Bookings!$D$5:$D$304,Bookings!$C$5:$C$304,A47,Bookings!$E$5:$E$304,"&lt;="&amp;$D$3,Bookings!$F$5:$F$304,"&gt;="&amp;$B$3,Bookings!$G$5:$G$304,"Checked out"))</x:f>
      </x:c>
      <x:c r="E47" s="66" t="str">
        <x:f>IF(OR(A47="",C47="",$B$3="",$D$3="",$D$3&lt;$B$3),"",MAX(0,C47-D47))</x:f>
      </x:c>
      <x:c r="F47" s="72" t="str">
        <x:f>IF(A47="","",IFERROR(VLOOKUP(A47,Inventory!$A$5:$F$104,5,FALSE),""))</x:f>
      </x:c>
      <x:c r="G47" s="46" t="str">
        <x:f>IF(A47="","",IF(OR($B$3="",$D$3="",$D$3&lt;$B$3),"Check dates",IF(E47&lt;=0,"Unavailable",IF(E47&lt;C47,"Limited","Available"))))</x:f>
      </x:c>
    </x:row>
    <x:row r="48">
      <x:c r="A48" s="44" t="str">
        <x:f>IF(Inventory!A43="","",Inventory!A43)</x:f>
      </x:c>
      <x:c r="B48" s="45" t="str">
        <x:f>IF(A48="","",IFERROR(VLOOKUP(A48,Inventory!$A$5:$F$104,2,FALSE),""))</x:f>
      </x:c>
      <x:c r="C48" s="66" t="str">
        <x:f>IF(A48="","",IFERROR(VLOOKUP(A48,Inventory!$A$5:$F$104,4,FALSE),""))</x:f>
      </x:c>
      <x:c r="D48" s="66" t="str">
        <x:f>IF(OR(A48="",$B$3="",$D$3="",$D$3&lt;$B$3),"",SUMIFS(Bookings!$D$5:$D$304,Bookings!$C$5:$C$304,A48,Bookings!$E$5:$E$304,"&lt;="&amp;$D$3,Bookings!$F$5:$F$304,"&gt;="&amp;$B$3,Bookings!$G$5:$G$304,"Reserved")+SUMIFS(Bookings!$D$5:$D$304,Bookings!$C$5:$C$304,A48,Bookings!$E$5:$E$304,"&lt;="&amp;$D$3,Bookings!$F$5:$F$304,"&gt;="&amp;$B$3,Bookings!$G$5:$G$304,"Checked out"))</x:f>
      </x:c>
      <x:c r="E48" s="66" t="str">
        <x:f>IF(OR(A48="",C48="",$B$3="",$D$3="",$D$3&lt;$B$3),"",MAX(0,C48-D48))</x:f>
      </x:c>
      <x:c r="F48" s="72" t="str">
        <x:f>IF(A48="","",IFERROR(VLOOKUP(A48,Inventory!$A$5:$F$104,5,FALSE),""))</x:f>
      </x:c>
      <x:c r="G48" s="46" t="str">
        <x:f>IF(A48="","",IF(OR($B$3="",$D$3="",$D$3&lt;$B$3),"Check dates",IF(E48&lt;=0,"Unavailable",IF(E48&lt;C48,"Limited","Available"))))</x:f>
      </x:c>
    </x:row>
    <x:row r="49">
      <x:c r="A49" s="44" t="str">
        <x:f>IF(Inventory!A44="","",Inventory!A44)</x:f>
      </x:c>
      <x:c r="B49" s="45" t="str">
        <x:f>IF(A49="","",IFERROR(VLOOKUP(A49,Inventory!$A$5:$F$104,2,FALSE),""))</x:f>
      </x:c>
      <x:c r="C49" s="66" t="str">
        <x:f>IF(A49="","",IFERROR(VLOOKUP(A49,Inventory!$A$5:$F$104,4,FALSE),""))</x:f>
      </x:c>
      <x:c r="D49" s="66" t="str">
        <x:f>IF(OR(A49="",$B$3="",$D$3="",$D$3&lt;$B$3),"",SUMIFS(Bookings!$D$5:$D$304,Bookings!$C$5:$C$304,A49,Bookings!$E$5:$E$304,"&lt;="&amp;$D$3,Bookings!$F$5:$F$304,"&gt;="&amp;$B$3,Bookings!$G$5:$G$304,"Reserved")+SUMIFS(Bookings!$D$5:$D$304,Bookings!$C$5:$C$304,A49,Bookings!$E$5:$E$304,"&lt;="&amp;$D$3,Bookings!$F$5:$F$304,"&gt;="&amp;$B$3,Bookings!$G$5:$G$304,"Checked out"))</x:f>
      </x:c>
      <x:c r="E49" s="66" t="str">
        <x:f>IF(OR(A49="",C49="",$B$3="",$D$3="",$D$3&lt;$B$3),"",MAX(0,C49-D49))</x:f>
      </x:c>
      <x:c r="F49" s="72" t="str">
        <x:f>IF(A49="","",IFERROR(VLOOKUP(A49,Inventory!$A$5:$F$104,5,FALSE),""))</x:f>
      </x:c>
      <x:c r="G49" s="46" t="str">
        <x:f>IF(A49="","",IF(OR($B$3="",$D$3="",$D$3&lt;$B$3),"Check dates",IF(E49&lt;=0,"Unavailable",IF(E49&lt;C49,"Limited","Available"))))</x:f>
      </x:c>
    </x:row>
    <x:row r="50">
      <x:c r="A50" s="44" t="str">
        <x:f>IF(Inventory!A45="","",Inventory!A45)</x:f>
      </x:c>
      <x:c r="B50" s="45" t="str">
        <x:f>IF(A50="","",IFERROR(VLOOKUP(A50,Inventory!$A$5:$F$104,2,FALSE),""))</x:f>
      </x:c>
      <x:c r="C50" s="66" t="str">
        <x:f>IF(A50="","",IFERROR(VLOOKUP(A50,Inventory!$A$5:$F$104,4,FALSE),""))</x:f>
      </x:c>
      <x:c r="D50" s="66" t="str">
        <x:f>IF(OR(A50="",$B$3="",$D$3="",$D$3&lt;$B$3),"",SUMIFS(Bookings!$D$5:$D$304,Bookings!$C$5:$C$304,A50,Bookings!$E$5:$E$304,"&lt;="&amp;$D$3,Bookings!$F$5:$F$304,"&gt;="&amp;$B$3,Bookings!$G$5:$G$304,"Reserved")+SUMIFS(Bookings!$D$5:$D$304,Bookings!$C$5:$C$304,A50,Bookings!$E$5:$E$304,"&lt;="&amp;$D$3,Bookings!$F$5:$F$304,"&gt;="&amp;$B$3,Bookings!$G$5:$G$304,"Checked out"))</x:f>
      </x:c>
      <x:c r="E50" s="66" t="str">
        <x:f>IF(OR(A50="",C50="",$B$3="",$D$3="",$D$3&lt;$B$3),"",MAX(0,C50-D50))</x:f>
      </x:c>
      <x:c r="F50" s="72" t="str">
        <x:f>IF(A50="","",IFERROR(VLOOKUP(A50,Inventory!$A$5:$F$104,5,FALSE),""))</x:f>
      </x:c>
      <x:c r="G50" s="46" t="str">
        <x:f>IF(A50="","",IF(OR($B$3="",$D$3="",$D$3&lt;$B$3),"Check dates",IF(E50&lt;=0,"Unavailable",IF(E50&lt;C50,"Limited","Available"))))</x:f>
      </x:c>
    </x:row>
    <x:row r="51">
      <x:c r="A51" s="44" t="str">
        <x:f>IF(Inventory!A46="","",Inventory!A46)</x:f>
      </x:c>
      <x:c r="B51" s="45" t="str">
        <x:f>IF(A51="","",IFERROR(VLOOKUP(A51,Inventory!$A$5:$F$104,2,FALSE),""))</x:f>
      </x:c>
      <x:c r="C51" s="66" t="str">
        <x:f>IF(A51="","",IFERROR(VLOOKUP(A51,Inventory!$A$5:$F$104,4,FALSE),""))</x:f>
      </x:c>
      <x:c r="D51" s="66" t="str">
        <x:f>IF(OR(A51="",$B$3="",$D$3="",$D$3&lt;$B$3),"",SUMIFS(Bookings!$D$5:$D$304,Bookings!$C$5:$C$304,A51,Bookings!$E$5:$E$304,"&lt;="&amp;$D$3,Bookings!$F$5:$F$304,"&gt;="&amp;$B$3,Bookings!$G$5:$G$304,"Reserved")+SUMIFS(Bookings!$D$5:$D$304,Bookings!$C$5:$C$304,A51,Bookings!$E$5:$E$304,"&lt;="&amp;$D$3,Bookings!$F$5:$F$304,"&gt;="&amp;$B$3,Bookings!$G$5:$G$304,"Checked out"))</x:f>
      </x:c>
      <x:c r="E51" s="66" t="str">
        <x:f>IF(OR(A51="",C51="",$B$3="",$D$3="",$D$3&lt;$B$3),"",MAX(0,C51-D51))</x:f>
      </x:c>
      <x:c r="F51" s="72" t="str">
        <x:f>IF(A51="","",IFERROR(VLOOKUP(A51,Inventory!$A$5:$F$104,5,FALSE),""))</x:f>
      </x:c>
      <x:c r="G51" s="46" t="str">
        <x:f>IF(A51="","",IF(OR($B$3="",$D$3="",$D$3&lt;$B$3),"Check dates",IF(E51&lt;=0,"Unavailable",IF(E51&lt;C51,"Limited","Available"))))</x:f>
      </x:c>
    </x:row>
    <x:row r="52">
      <x:c r="A52" s="44" t="str">
        <x:f>IF(Inventory!A47="","",Inventory!A47)</x:f>
      </x:c>
      <x:c r="B52" s="45" t="str">
        <x:f>IF(A52="","",IFERROR(VLOOKUP(A52,Inventory!$A$5:$F$104,2,FALSE),""))</x:f>
      </x:c>
      <x:c r="C52" s="66" t="str">
        <x:f>IF(A52="","",IFERROR(VLOOKUP(A52,Inventory!$A$5:$F$104,4,FALSE),""))</x:f>
      </x:c>
      <x:c r="D52" s="66" t="str">
        <x:f>IF(OR(A52="",$B$3="",$D$3="",$D$3&lt;$B$3),"",SUMIFS(Bookings!$D$5:$D$304,Bookings!$C$5:$C$304,A52,Bookings!$E$5:$E$304,"&lt;="&amp;$D$3,Bookings!$F$5:$F$304,"&gt;="&amp;$B$3,Bookings!$G$5:$G$304,"Reserved")+SUMIFS(Bookings!$D$5:$D$304,Bookings!$C$5:$C$304,A52,Bookings!$E$5:$E$304,"&lt;="&amp;$D$3,Bookings!$F$5:$F$304,"&gt;="&amp;$B$3,Bookings!$G$5:$G$304,"Checked out"))</x:f>
      </x:c>
      <x:c r="E52" s="66" t="str">
        <x:f>IF(OR(A52="",C52="",$B$3="",$D$3="",$D$3&lt;$B$3),"",MAX(0,C52-D52))</x:f>
      </x:c>
      <x:c r="F52" s="72" t="str">
        <x:f>IF(A52="","",IFERROR(VLOOKUP(A52,Inventory!$A$5:$F$104,5,FALSE),""))</x:f>
      </x:c>
      <x:c r="G52" s="46" t="str">
        <x:f>IF(A52="","",IF(OR($B$3="",$D$3="",$D$3&lt;$B$3),"Check dates",IF(E52&lt;=0,"Unavailable",IF(E52&lt;C52,"Limited","Available"))))</x:f>
      </x:c>
    </x:row>
    <x:row r="53">
      <x:c r="A53" s="44" t="str">
        <x:f>IF(Inventory!A48="","",Inventory!A48)</x:f>
      </x:c>
      <x:c r="B53" s="45" t="str">
        <x:f>IF(A53="","",IFERROR(VLOOKUP(A53,Inventory!$A$5:$F$104,2,FALSE),""))</x:f>
      </x:c>
      <x:c r="C53" s="66" t="str">
        <x:f>IF(A53="","",IFERROR(VLOOKUP(A53,Inventory!$A$5:$F$104,4,FALSE),""))</x:f>
      </x:c>
      <x:c r="D53" s="66" t="str">
        <x:f>IF(OR(A53="",$B$3="",$D$3="",$D$3&lt;$B$3),"",SUMIFS(Bookings!$D$5:$D$304,Bookings!$C$5:$C$304,A53,Bookings!$E$5:$E$304,"&lt;="&amp;$D$3,Bookings!$F$5:$F$304,"&gt;="&amp;$B$3,Bookings!$G$5:$G$304,"Reserved")+SUMIFS(Bookings!$D$5:$D$304,Bookings!$C$5:$C$304,A53,Bookings!$E$5:$E$304,"&lt;="&amp;$D$3,Bookings!$F$5:$F$304,"&gt;="&amp;$B$3,Bookings!$G$5:$G$304,"Checked out"))</x:f>
      </x:c>
      <x:c r="E53" s="66" t="str">
        <x:f>IF(OR(A53="",C53="",$B$3="",$D$3="",$D$3&lt;$B$3),"",MAX(0,C53-D53))</x:f>
      </x:c>
      <x:c r="F53" s="72" t="str">
        <x:f>IF(A53="","",IFERROR(VLOOKUP(A53,Inventory!$A$5:$F$104,5,FALSE),""))</x:f>
      </x:c>
      <x:c r="G53" s="46" t="str">
        <x:f>IF(A53="","",IF(OR($B$3="",$D$3="",$D$3&lt;$B$3),"Check dates",IF(E53&lt;=0,"Unavailable",IF(E53&lt;C53,"Limited","Available"))))</x:f>
      </x:c>
    </x:row>
    <x:row r="54">
      <x:c r="A54" s="44" t="str">
        <x:f>IF(Inventory!A49="","",Inventory!A49)</x:f>
      </x:c>
      <x:c r="B54" s="45" t="str">
        <x:f>IF(A54="","",IFERROR(VLOOKUP(A54,Inventory!$A$5:$F$104,2,FALSE),""))</x:f>
      </x:c>
      <x:c r="C54" s="66" t="str">
        <x:f>IF(A54="","",IFERROR(VLOOKUP(A54,Inventory!$A$5:$F$104,4,FALSE),""))</x:f>
      </x:c>
      <x:c r="D54" s="66" t="str">
        <x:f>IF(OR(A54="",$B$3="",$D$3="",$D$3&lt;$B$3),"",SUMIFS(Bookings!$D$5:$D$304,Bookings!$C$5:$C$304,A54,Bookings!$E$5:$E$304,"&lt;="&amp;$D$3,Bookings!$F$5:$F$304,"&gt;="&amp;$B$3,Bookings!$G$5:$G$304,"Reserved")+SUMIFS(Bookings!$D$5:$D$304,Bookings!$C$5:$C$304,A54,Bookings!$E$5:$E$304,"&lt;="&amp;$D$3,Bookings!$F$5:$F$304,"&gt;="&amp;$B$3,Bookings!$G$5:$G$304,"Checked out"))</x:f>
      </x:c>
      <x:c r="E54" s="66" t="str">
        <x:f>IF(OR(A54="",C54="",$B$3="",$D$3="",$D$3&lt;$B$3),"",MAX(0,C54-D54))</x:f>
      </x:c>
      <x:c r="F54" s="72" t="str">
        <x:f>IF(A54="","",IFERROR(VLOOKUP(A54,Inventory!$A$5:$F$104,5,FALSE),""))</x:f>
      </x:c>
      <x:c r="G54" s="46" t="str">
        <x:f>IF(A54="","",IF(OR($B$3="",$D$3="",$D$3&lt;$B$3),"Check dates",IF(E54&lt;=0,"Unavailable",IF(E54&lt;C54,"Limited","Available"))))</x:f>
      </x:c>
    </x:row>
    <x:row r="55">
      <x:c r="A55" s="44" t="str">
        <x:f>IF(Inventory!A50="","",Inventory!A50)</x:f>
      </x:c>
      <x:c r="B55" s="45" t="str">
        <x:f>IF(A55="","",IFERROR(VLOOKUP(A55,Inventory!$A$5:$F$104,2,FALSE),""))</x:f>
      </x:c>
      <x:c r="C55" s="66" t="str">
        <x:f>IF(A55="","",IFERROR(VLOOKUP(A55,Inventory!$A$5:$F$104,4,FALSE),""))</x:f>
      </x:c>
      <x:c r="D55" s="66" t="str">
        <x:f>IF(OR(A55="",$B$3="",$D$3="",$D$3&lt;$B$3),"",SUMIFS(Bookings!$D$5:$D$304,Bookings!$C$5:$C$304,A55,Bookings!$E$5:$E$304,"&lt;="&amp;$D$3,Bookings!$F$5:$F$304,"&gt;="&amp;$B$3,Bookings!$G$5:$G$304,"Reserved")+SUMIFS(Bookings!$D$5:$D$304,Bookings!$C$5:$C$304,A55,Bookings!$E$5:$E$304,"&lt;="&amp;$D$3,Bookings!$F$5:$F$304,"&gt;="&amp;$B$3,Bookings!$G$5:$G$304,"Checked out"))</x:f>
      </x:c>
      <x:c r="E55" s="66" t="str">
        <x:f>IF(OR(A55="",C55="",$B$3="",$D$3="",$D$3&lt;$B$3),"",MAX(0,C55-D55))</x:f>
      </x:c>
      <x:c r="F55" s="72" t="str">
        <x:f>IF(A55="","",IFERROR(VLOOKUP(A55,Inventory!$A$5:$F$104,5,FALSE),""))</x:f>
      </x:c>
      <x:c r="G55" s="46" t="str">
        <x:f>IF(A55="","",IF(OR($B$3="",$D$3="",$D$3&lt;$B$3),"Check dates",IF(E55&lt;=0,"Unavailable",IF(E55&lt;C55,"Limited","Available"))))</x:f>
      </x:c>
    </x:row>
    <x:row r="56">
      <x:c r="A56" s="44" t="str">
        <x:f>IF(Inventory!A51="","",Inventory!A51)</x:f>
      </x:c>
      <x:c r="B56" s="45" t="str">
        <x:f>IF(A56="","",IFERROR(VLOOKUP(A56,Inventory!$A$5:$F$104,2,FALSE),""))</x:f>
      </x:c>
      <x:c r="C56" s="66" t="str">
        <x:f>IF(A56="","",IFERROR(VLOOKUP(A56,Inventory!$A$5:$F$104,4,FALSE),""))</x:f>
      </x:c>
      <x:c r="D56" s="66" t="str">
        <x:f>IF(OR(A56="",$B$3="",$D$3="",$D$3&lt;$B$3),"",SUMIFS(Bookings!$D$5:$D$304,Bookings!$C$5:$C$304,A56,Bookings!$E$5:$E$304,"&lt;="&amp;$D$3,Bookings!$F$5:$F$304,"&gt;="&amp;$B$3,Bookings!$G$5:$G$304,"Reserved")+SUMIFS(Bookings!$D$5:$D$304,Bookings!$C$5:$C$304,A56,Bookings!$E$5:$E$304,"&lt;="&amp;$D$3,Bookings!$F$5:$F$304,"&gt;="&amp;$B$3,Bookings!$G$5:$G$304,"Checked out"))</x:f>
      </x:c>
      <x:c r="E56" s="66" t="str">
        <x:f>IF(OR(A56="",C56="",$B$3="",$D$3="",$D$3&lt;$B$3),"",MAX(0,C56-D56))</x:f>
      </x:c>
      <x:c r="F56" s="72" t="str">
        <x:f>IF(A56="","",IFERROR(VLOOKUP(A56,Inventory!$A$5:$F$104,5,FALSE),""))</x:f>
      </x:c>
      <x:c r="G56" s="46" t="str">
        <x:f>IF(A56="","",IF(OR($B$3="",$D$3="",$D$3&lt;$B$3),"Check dates",IF(E56&lt;=0,"Unavailable",IF(E56&lt;C56,"Limited","Available"))))</x:f>
      </x:c>
    </x:row>
    <x:row r="57">
      <x:c r="A57" s="44" t="str">
        <x:f>IF(Inventory!A52="","",Inventory!A52)</x:f>
      </x:c>
      <x:c r="B57" s="45" t="str">
        <x:f>IF(A57="","",IFERROR(VLOOKUP(A57,Inventory!$A$5:$F$104,2,FALSE),""))</x:f>
      </x:c>
      <x:c r="C57" s="66" t="str">
        <x:f>IF(A57="","",IFERROR(VLOOKUP(A57,Inventory!$A$5:$F$104,4,FALSE),""))</x:f>
      </x:c>
      <x:c r="D57" s="66" t="str">
        <x:f>IF(OR(A57="",$B$3="",$D$3="",$D$3&lt;$B$3),"",SUMIFS(Bookings!$D$5:$D$304,Bookings!$C$5:$C$304,A57,Bookings!$E$5:$E$304,"&lt;="&amp;$D$3,Bookings!$F$5:$F$304,"&gt;="&amp;$B$3,Bookings!$G$5:$G$304,"Reserved")+SUMIFS(Bookings!$D$5:$D$304,Bookings!$C$5:$C$304,A57,Bookings!$E$5:$E$304,"&lt;="&amp;$D$3,Bookings!$F$5:$F$304,"&gt;="&amp;$B$3,Bookings!$G$5:$G$304,"Checked out"))</x:f>
      </x:c>
      <x:c r="E57" s="66" t="str">
        <x:f>IF(OR(A57="",C57="",$B$3="",$D$3="",$D$3&lt;$B$3),"",MAX(0,C57-D57))</x:f>
      </x:c>
      <x:c r="F57" s="72" t="str">
        <x:f>IF(A57="","",IFERROR(VLOOKUP(A57,Inventory!$A$5:$F$104,5,FALSE),""))</x:f>
      </x:c>
      <x:c r="G57" s="46" t="str">
        <x:f>IF(A57="","",IF(OR($B$3="",$D$3="",$D$3&lt;$B$3),"Check dates",IF(E57&lt;=0,"Unavailable",IF(E57&lt;C57,"Limited","Available"))))</x:f>
      </x:c>
    </x:row>
    <x:row r="58">
      <x:c r="A58" s="44" t="str">
        <x:f>IF(Inventory!A53="","",Inventory!A53)</x:f>
      </x:c>
      <x:c r="B58" s="45" t="str">
        <x:f>IF(A58="","",IFERROR(VLOOKUP(A58,Inventory!$A$5:$F$104,2,FALSE),""))</x:f>
      </x:c>
      <x:c r="C58" s="66" t="str">
        <x:f>IF(A58="","",IFERROR(VLOOKUP(A58,Inventory!$A$5:$F$104,4,FALSE),""))</x:f>
      </x:c>
      <x:c r="D58" s="66" t="str">
        <x:f>IF(OR(A58="",$B$3="",$D$3="",$D$3&lt;$B$3),"",SUMIFS(Bookings!$D$5:$D$304,Bookings!$C$5:$C$304,A58,Bookings!$E$5:$E$304,"&lt;="&amp;$D$3,Bookings!$F$5:$F$304,"&gt;="&amp;$B$3,Bookings!$G$5:$G$304,"Reserved")+SUMIFS(Bookings!$D$5:$D$304,Bookings!$C$5:$C$304,A58,Bookings!$E$5:$E$304,"&lt;="&amp;$D$3,Bookings!$F$5:$F$304,"&gt;="&amp;$B$3,Bookings!$G$5:$G$304,"Checked out"))</x:f>
      </x:c>
      <x:c r="E58" s="66" t="str">
        <x:f>IF(OR(A58="",C58="",$B$3="",$D$3="",$D$3&lt;$B$3),"",MAX(0,C58-D58))</x:f>
      </x:c>
      <x:c r="F58" s="72" t="str">
        <x:f>IF(A58="","",IFERROR(VLOOKUP(A58,Inventory!$A$5:$F$104,5,FALSE),""))</x:f>
      </x:c>
      <x:c r="G58" s="46" t="str">
        <x:f>IF(A58="","",IF(OR($B$3="",$D$3="",$D$3&lt;$B$3),"Check dates",IF(E58&lt;=0,"Unavailable",IF(E58&lt;C58,"Limited","Available"))))</x:f>
      </x:c>
    </x:row>
    <x:row r="59">
      <x:c r="A59" s="44" t="str">
        <x:f>IF(Inventory!A54="","",Inventory!A54)</x:f>
      </x:c>
      <x:c r="B59" s="45" t="str">
        <x:f>IF(A59="","",IFERROR(VLOOKUP(A59,Inventory!$A$5:$F$104,2,FALSE),""))</x:f>
      </x:c>
      <x:c r="C59" s="66" t="str">
        <x:f>IF(A59="","",IFERROR(VLOOKUP(A59,Inventory!$A$5:$F$104,4,FALSE),""))</x:f>
      </x:c>
      <x:c r="D59" s="66" t="str">
        <x:f>IF(OR(A59="",$B$3="",$D$3="",$D$3&lt;$B$3),"",SUMIFS(Bookings!$D$5:$D$304,Bookings!$C$5:$C$304,A59,Bookings!$E$5:$E$304,"&lt;="&amp;$D$3,Bookings!$F$5:$F$304,"&gt;="&amp;$B$3,Bookings!$G$5:$G$304,"Reserved")+SUMIFS(Bookings!$D$5:$D$304,Bookings!$C$5:$C$304,A59,Bookings!$E$5:$E$304,"&lt;="&amp;$D$3,Bookings!$F$5:$F$304,"&gt;="&amp;$B$3,Bookings!$G$5:$G$304,"Checked out"))</x:f>
      </x:c>
      <x:c r="E59" s="66" t="str">
        <x:f>IF(OR(A59="",C59="",$B$3="",$D$3="",$D$3&lt;$B$3),"",MAX(0,C59-D59))</x:f>
      </x:c>
      <x:c r="F59" s="72" t="str">
        <x:f>IF(A59="","",IFERROR(VLOOKUP(A59,Inventory!$A$5:$F$104,5,FALSE),""))</x:f>
      </x:c>
      <x:c r="G59" s="46" t="str">
        <x:f>IF(A59="","",IF(OR($B$3="",$D$3="",$D$3&lt;$B$3),"Check dates",IF(E59&lt;=0,"Unavailable",IF(E59&lt;C59,"Limited","Available"))))</x:f>
      </x:c>
    </x:row>
    <x:row r="60">
      <x:c r="A60" s="44" t="str">
        <x:f>IF(Inventory!A55="","",Inventory!A55)</x:f>
      </x:c>
      <x:c r="B60" s="45" t="str">
        <x:f>IF(A60="","",IFERROR(VLOOKUP(A60,Inventory!$A$5:$F$104,2,FALSE),""))</x:f>
      </x:c>
      <x:c r="C60" s="66" t="str">
        <x:f>IF(A60="","",IFERROR(VLOOKUP(A60,Inventory!$A$5:$F$104,4,FALSE),""))</x:f>
      </x:c>
      <x:c r="D60" s="66" t="str">
        <x:f>IF(OR(A60="",$B$3="",$D$3="",$D$3&lt;$B$3),"",SUMIFS(Bookings!$D$5:$D$304,Bookings!$C$5:$C$304,A60,Bookings!$E$5:$E$304,"&lt;="&amp;$D$3,Bookings!$F$5:$F$304,"&gt;="&amp;$B$3,Bookings!$G$5:$G$304,"Reserved")+SUMIFS(Bookings!$D$5:$D$304,Bookings!$C$5:$C$304,A60,Bookings!$E$5:$E$304,"&lt;="&amp;$D$3,Bookings!$F$5:$F$304,"&gt;="&amp;$B$3,Bookings!$G$5:$G$304,"Checked out"))</x:f>
      </x:c>
      <x:c r="E60" s="66" t="str">
        <x:f>IF(OR(A60="",C60="",$B$3="",$D$3="",$D$3&lt;$B$3),"",MAX(0,C60-D60))</x:f>
      </x:c>
      <x:c r="F60" s="72" t="str">
        <x:f>IF(A60="","",IFERROR(VLOOKUP(A60,Inventory!$A$5:$F$104,5,FALSE),""))</x:f>
      </x:c>
      <x:c r="G60" s="46" t="str">
        <x:f>IF(A60="","",IF(OR($B$3="",$D$3="",$D$3&lt;$B$3),"Check dates",IF(E60&lt;=0,"Unavailable",IF(E60&lt;C60,"Limited","Available"))))</x:f>
      </x:c>
    </x:row>
    <x:row r="61">
      <x:c r="A61" s="44" t="str">
        <x:f>IF(Inventory!A56="","",Inventory!A56)</x:f>
      </x:c>
      <x:c r="B61" s="45" t="str">
        <x:f>IF(A61="","",IFERROR(VLOOKUP(A61,Inventory!$A$5:$F$104,2,FALSE),""))</x:f>
      </x:c>
      <x:c r="C61" s="66" t="str">
        <x:f>IF(A61="","",IFERROR(VLOOKUP(A61,Inventory!$A$5:$F$104,4,FALSE),""))</x:f>
      </x:c>
      <x:c r="D61" s="66" t="str">
        <x:f>IF(OR(A61="",$B$3="",$D$3="",$D$3&lt;$B$3),"",SUMIFS(Bookings!$D$5:$D$304,Bookings!$C$5:$C$304,A61,Bookings!$E$5:$E$304,"&lt;="&amp;$D$3,Bookings!$F$5:$F$304,"&gt;="&amp;$B$3,Bookings!$G$5:$G$304,"Reserved")+SUMIFS(Bookings!$D$5:$D$304,Bookings!$C$5:$C$304,A61,Bookings!$E$5:$E$304,"&lt;="&amp;$D$3,Bookings!$F$5:$F$304,"&gt;="&amp;$B$3,Bookings!$G$5:$G$304,"Checked out"))</x:f>
      </x:c>
      <x:c r="E61" s="66" t="str">
        <x:f>IF(OR(A61="",C61="",$B$3="",$D$3="",$D$3&lt;$B$3),"",MAX(0,C61-D61))</x:f>
      </x:c>
      <x:c r="F61" s="72" t="str">
        <x:f>IF(A61="","",IFERROR(VLOOKUP(A61,Inventory!$A$5:$F$104,5,FALSE),""))</x:f>
      </x:c>
      <x:c r="G61" s="46" t="str">
        <x:f>IF(A61="","",IF(OR($B$3="",$D$3="",$D$3&lt;$B$3),"Check dates",IF(E61&lt;=0,"Unavailable",IF(E61&lt;C61,"Limited","Available"))))</x:f>
      </x:c>
    </x:row>
    <x:row r="62">
      <x:c r="A62" s="44" t="str">
        <x:f>IF(Inventory!A57="","",Inventory!A57)</x:f>
      </x:c>
      <x:c r="B62" s="45" t="str">
        <x:f>IF(A62="","",IFERROR(VLOOKUP(A62,Inventory!$A$5:$F$104,2,FALSE),""))</x:f>
      </x:c>
      <x:c r="C62" s="66" t="str">
        <x:f>IF(A62="","",IFERROR(VLOOKUP(A62,Inventory!$A$5:$F$104,4,FALSE),""))</x:f>
      </x:c>
      <x:c r="D62" s="66" t="str">
        <x:f>IF(OR(A62="",$B$3="",$D$3="",$D$3&lt;$B$3),"",SUMIFS(Bookings!$D$5:$D$304,Bookings!$C$5:$C$304,A62,Bookings!$E$5:$E$304,"&lt;="&amp;$D$3,Bookings!$F$5:$F$304,"&gt;="&amp;$B$3,Bookings!$G$5:$G$304,"Reserved")+SUMIFS(Bookings!$D$5:$D$304,Bookings!$C$5:$C$304,A62,Bookings!$E$5:$E$304,"&lt;="&amp;$D$3,Bookings!$F$5:$F$304,"&gt;="&amp;$B$3,Bookings!$G$5:$G$304,"Checked out"))</x:f>
      </x:c>
      <x:c r="E62" s="66" t="str">
        <x:f>IF(OR(A62="",C62="",$B$3="",$D$3="",$D$3&lt;$B$3),"",MAX(0,C62-D62))</x:f>
      </x:c>
      <x:c r="F62" s="72" t="str">
        <x:f>IF(A62="","",IFERROR(VLOOKUP(A62,Inventory!$A$5:$F$104,5,FALSE),""))</x:f>
      </x:c>
      <x:c r="G62" s="46" t="str">
        <x:f>IF(A62="","",IF(OR($B$3="",$D$3="",$D$3&lt;$B$3),"Check dates",IF(E62&lt;=0,"Unavailable",IF(E62&lt;C62,"Limited","Available"))))</x:f>
      </x:c>
    </x:row>
    <x:row r="63">
      <x:c r="A63" s="44" t="str">
        <x:f>IF(Inventory!A58="","",Inventory!A58)</x:f>
      </x:c>
      <x:c r="B63" s="45" t="str">
        <x:f>IF(A63="","",IFERROR(VLOOKUP(A63,Inventory!$A$5:$F$104,2,FALSE),""))</x:f>
      </x:c>
      <x:c r="C63" s="66" t="str">
        <x:f>IF(A63="","",IFERROR(VLOOKUP(A63,Inventory!$A$5:$F$104,4,FALSE),""))</x:f>
      </x:c>
      <x:c r="D63" s="66" t="str">
        <x:f>IF(OR(A63="",$B$3="",$D$3="",$D$3&lt;$B$3),"",SUMIFS(Bookings!$D$5:$D$304,Bookings!$C$5:$C$304,A63,Bookings!$E$5:$E$304,"&lt;="&amp;$D$3,Bookings!$F$5:$F$304,"&gt;="&amp;$B$3,Bookings!$G$5:$G$304,"Reserved")+SUMIFS(Bookings!$D$5:$D$304,Bookings!$C$5:$C$304,A63,Bookings!$E$5:$E$304,"&lt;="&amp;$D$3,Bookings!$F$5:$F$304,"&gt;="&amp;$B$3,Bookings!$G$5:$G$304,"Checked out"))</x:f>
      </x:c>
      <x:c r="E63" s="66" t="str">
        <x:f>IF(OR(A63="",C63="",$B$3="",$D$3="",$D$3&lt;$B$3),"",MAX(0,C63-D63))</x:f>
      </x:c>
      <x:c r="F63" s="72" t="str">
        <x:f>IF(A63="","",IFERROR(VLOOKUP(A63,Inventory!$A$5:$F$104,5,FALSE),""))</x:f>
      </x:c>
      <x:c r="G63" s="46" t="str">
        <x:f>IF(A63="","",IF(OR($B$3="",$D$3="",$D$3&lt;$B$3),"Check dates",IF(E63&lt;=0,"Unavailable",IF(E63&lt;C63,"Limited","Available"))))</x:f>
      </x:c>
    </x:row>
    <x:row r="64">
      <x:c r="A64" s="44" t="str">
        <x:f>IF(Inventory!A59="","",Inventory!A59)</x:f>
      </x:c>
      <x:c r="B64" s="45" t="str">
        <x:f>IF(A64="","",IFERROR(VLOOKUP(A64,Inventory!$A$5:$F$104,2,FALSE),""))</x:f>
      </x:c>
      <x:c r="C64" s="66" t="str">
        <x:f>IF(A64="","",IFERROR(VLOOKUP(A64,Inventory!$A$5:$F$104,4,FALSE),""))</x:f>
      </x:c>
      <x:c r="D64" s="66" t="str">
        <x:f>IF(OR(A64="",$B$3="",$D$3="",$D$3&lt;$B$3),"",SUMIFS(Bookings!$D$5:$D$304,Bookings!$C$5:$C$304,A64,Bookings!$E$5:$E$304,"&lt;="&amp;$D$3,Bookings!$F$5:$F$304,"&gt;="&amp;$B$3,Bookings!$G$5:$G$304,"Reserved")+SUMIFS(Bookings!$D$5:$D$304,Bookings!$C$5:$C$304,A64,Bookings!$E$5:$E$304,"&lt;="&amp;$D$3,Bookings!$F$5:$F$304,"&gt;="&amp;$B$3,Bookings!$G$5:$G$304,"Checked out"))</x:f>
      </x:c>
      <x:c r="E64" s="66" t="str">
        <x:f>IF(OR(A64="",C64="",$B$3="",$D$3="",$D$3&lt;$B$3),"",MAX(0,C64-D64))</x:f>
      </x:c>
      <x:c r="F64" s="72" t="str">
        <x:f>IF(A64="","",IFERROR(VLOOKUP(A64,Inventory!$A$5:$F$104,5,FALSE),""))</x:f>
      </x:c>
      <x:c r="G64" s="46" t="str">
        <x:f>IF(A64="","",IF(OR($B$3="",$D$3="",$D$3&lt;$B$3),"Check dates",IF(E64&lt;=0,"Unavailable",IF(E64&lt;C64,"Limited","Available"))))</x:f>
      </x:c>
    </x:row>
    <x:row r="65">
      <x:c r="A65" s="44" t="str">
        <x:f>IF(Inventory!A60="","",Inventory!A60)</x:f>
      </x:c>
      <x:c r="B65" s="45" t="str">
        <x:f>IF(A65="","",IFERROR(VLOOKUP(A65,Inventory!$A$5:$F$104,2,FALSE),""))</x:f>
      </x:c>
      <x:c r="C65" s="66" t="str">
        <x:f>IF(A65="","",IFERROR(VLOOKUP(A65,Inventory!$A$5:$F$104,4,FALSE),""))</x:f>
      </x:c>
      <x:c r="D65" s="66" t="str">
        <x:f>IF(OR(A65="",$B$3="",$D$3="",$D$3&lt;$B$3),"",SUMIFS(Bookings!$D$5:$D$304,Bookings!$C$5:$C$304,A65,Bookings!$E$5:$E$304,"&lt;="&amp;$D$3,Bookings!$F$5:$F$304,"&gt;="&amp;$B$3,Bookings!$G$5:$G$304,"Reserved")+SUMIFS(Bookings!$D$5:$D$304,Bookings!$C$5:$C$304,A65,Bookings!$E$5:$E$304,"&lt;="&amp;$D$3,Bookings!$F$5:$F$304,"&gt;="&amp;$B$3,Bookings!$G$5:$G$304,"Checked out"))</x:f>
      </x:c>
      <x:c r="E65" s="66" t="str">
        <x:f>IF(OR(A65="",C65="",$B$3="",$D$3="",$D$3&lt;$B$3),"",MAX(0,C65-D65))</x:f>
      </x:c>
      <x:c r="F65" s="72" t="str">
        <x:f>IF(A65="","",IFERROR(VLOOKUP(A65,Inventory!$A$5:$F$104,5,FALSE),""))</x:f>
      </x:c>
      <x:c r="G65" s="46" t="str">
        <x:f>IF(A65="","",IF(OR($B$3="",$D$3="",$D$3&lt;$B$3),"Check dates",IF(E65&lt;=0,"Unavailable",IF(E65&lt;C65,"Limited","Available"))))</x:f>
      </x:c>
    </x:row>
    <x:row r="66">
      <x:c r="A66" s="44" t="str">
        <x:f>IF(Inventory!A61="","",Inventory!A61)</x:f>
      </x:c>
      <x:c r="B66" s="45" t="str">
        <x:f>IF(A66="","",IFERROR(VLOOKUP(A66,Inventory!$A$5:$F$104,2,FALSE),""))</x:f>
      </x:c>
      <x:c r="C66" s="66" t="str">
        <x:f>IF(A66="","",IFERROR(VLOOKUP(A66,Inventory!$A$5:$F$104,4,FALSE),""))</x:f>
      </x:c>
      <x:c r="D66" s="66" t="str">
        <x:f>IF(OR(A66="",$B$3="",$D$3="",$D$3&lt;$B$3),"",SUMIFS(Bookings!$D$5:$D$304,Bookings!$C$5:$C$304,A66,Bookings!$E$5:$E$304,"&lt;="&amp;$D$3,Bookings!$F$5:$F$304,"&gt;="&amp;$B$3,Bookings!$G$5:$G$304,"Reserved")+SUMIFS(Bookings!$D$5:$D$304,Bookings!$C$5:$C$304,A66,Bookings!$E$5:$E$304,"&lt;="&amp;$D$3,Bookings!$F$5:$F$304,"&gt;="&amp;$B$3,Bookings!$G$5:$G$304,"Checked out"))</x:f>
      </x:c>
      <x:c r="E66" s="66" t="str">
        <x:f>IF(OR(A66="",C66="",$B$3="",$D$3="",$D$3&lt;$B$3),"",MAX(0,C66-D66))</x:f>
      </x:c>
      <x:c r="F66" s="72" t="str">
        <x:f>IF(A66="","",IFERROR(VLOOKUP(A66,Inventory!$A$5:$F$104,5,FALSE),""))</x:f>
      </x:c>
      <x:c r="G66" s="46" t="str">
        <x:f>IF(A66="","",IF(OR($B$3="",$D$3="",$D$3&lt;$B$3),"Check dates",IF(E66&lt;=0,"Unavailable",IF(E66&lt;C66,"Limited","Available"))))</x:f>
      </x:c>
    </x:row>
    <x:row r="67">
      <x:c r="A67" s="44" t="str">
        <x:f>IF(Inventory!A62="","",Inventory!A62)</x:f>
      </x:c>
      <x:c r="B67" s="45" t="str">
        <x:f>IF(A67="","",IFERROR(VLOOKUP(A67,Inventory!$A$5:$F$104,2,FALSE),""))</x:f>
      </x:c>
      <x:c r="C67" s="66" t="str">
        <x:f>IF(A67="","",IFERROR(VLOOKUP(A67,Inventory!$A$5:$F$104,4,FALSE),""))</x:f>
      </x:c>
      <x:c r="D67" s="66" t="str">
        <x:f>IF(OR(A67="",$B$3="",$D$3="",$D$3&lt;$B$3),"",SUMIFS(Bookings!$D$5:$D$304,Bookings!$C$5:$C$304,A67,Bookings!$E$5:$E$304,"&lt;="&amp;$D$3,Bookings!$F$5:$F$304,"&gt;="&amp;$B$3,Bookings!$G$5:$G$304,"Reserved")+SUMIFS(Bookings!$D$5:$D$304,Bookings!$C$5:$C$304,A67,Bookings!$E$5:$E$304,"&lt;="&amp;$D$3,Bookings!$F$5:$F$304,"&gt;="&amp;$B$3,Bookings!$G$5:$G$304,"Checked out"))</x:f>
      </x:c>
      <x:c r="E67" s="66" t="str">
        <x:f>IF(OR(A67="",C67="",$B$3="",$D$3="",$D$3&lt;$B$3),"",MAX(0,C67-D67))</x:f>
      </x:c>
      <x:c r="F67" s="72" t="str">
        <x:f>IF(A67="","",IFERROR(VLOOKUP(A67,Inventory!$A$5:$F$104,5,FALSE),""))</x:f>
      </x:c>
      <x:c r="G67" s="46" t="str">
        <x:f>IF(A67="","",IF(OR($B$3="",$D$3="",$D$3&lt;$B$3),"Check dates",IF(E67&lt;=0,"Unavailable",IF(E67&lt;C67,"Limited","Available"))))</x:f>
      </x:c>
    </x:row>
    <x:row r="68">
      <x:c r="A68" s="44" t="str">
        <x:f>IF(Inventory!A63="","",Inventory!A63)</x:f>
      </x:c>
      <x:c r="B68" s="45" t="str">
        <x:f>IF(A68="","",IFERROR(VLOOKUP(A68,Inventory!$A$5:$F$104,2,FALSE),""))</x:f>
      </x:c>
      <x:c r="C68" s="66" t="str">
        <x:f>IF(A68="","",IFERROR(VLOOKUP(A68,Inventory!$A$5:$F$104,4,FALSE),""))</x:f>
      </x:c>
      <x:c r="D68" s="66" t="str">
        <x:f>IF(OR(A68="",$B$3="",$D$3="",$D$3&lt;$B$3),"",SUMIFS(Bookings!$D$5:$D$304,Bookings!$C$5:$C$304,A68,Bookings!$E$5:$E$304,"&lt;="&amp;$D$3,Bookings!$F$5:$F$304,"&gt;="&amp;$B$3,Bookings!$G$5:$G$304,"Reserved")+SUMIFS(Bookings!$D$5:$D$304,Bookings!$C$5:$C$304,A68,Bookings!$E$5:$E$304,"&lt;="&amp;$D$3,Bookings!$F$5:$F$304,"&gt;="&amp;$B$3,Bookings!$G$5:$G$304,"Checked out"))</x:f>
      </x:c>
      <x:c r="E68" s="66" t="str">
        <x:f>IF(OR(A68="",C68="",$B$3="",$D$3="",$D$3&lt;$B$3),"",MAX(0,C68-D68))</x:f>
      </x:c>
      <x:c r="F68" s="72" t="str">
        <x:f>IF(A68="","",IFERROR(VLOOKUP(A68,Inventory!$A$5:$F$104,5,FALSE),""))</x:f>
      </x:c>
      <x:c r="G68" s="46" t="str">
        <x:f>IF(A68="","",IF(OR($B$3="",$D$3="",$D$3&lt;$B$3),"Check dates",IF(E68&lt;=0,"Unavailable",IF(E68&lt;C68,"Limited","Available"))))</x:f>
      </x:c>
    </x:row>
    <x:row r="69">
      <x:c r="A69" s="44" t="str">
        <x:f>IF(Inventory!A64="","",Inventory!A64)</x:f>
      </x:c>
      <x:c r="B69" s="45" t="str">
        <x:f>IF(A69="","",IFERROR(VLOOKUP(A69,Inventory!$A$5:$F$104,2,FALSE),""))</x:f>
      </x:c>
      <x:c r="C69" s="66" t="str">
        <x:f>IF(A69="","",IFERROR(VLOOKUP(A69,Inventory!$A$5:$F$104,4,FALSE),""))</x:f>
      </x:c>
      <x:c r="D69" s="66" t="str">
        <x:f>IF(OR(A69="",$B$3="",$D$3="",$D$3&lt;$B$3),"",SUMIFS(Bookings!$D$5:$D$304,Bookings!$C$5:$C$304,A69,Bookings!$E$5:$E$304,"&lt;="&amp;$D$3,Bookings!$F$5:$F$304,"&gt;="&amp;$B$3,Bookings!$G$5:$G$304,"Reserved")+SUMIFS(Bookings!$D$5:$D$304,Bookings!$C$5:$C$304,A69,Bookings!$E$5:$E$304,"&lt;="&amp;$D$3,Bookings!$F$5:$F$304,"&gt;="&amp;$B$3,Bookings!$G$5:$G$304,"Checked out"))</x:f>
      </x:c>
      <x:c r="E69" s="66" t="str">
        <x:f>IF(OR(A69="",C69="",$B$3="",$D$3="",$D$3&lt;$B$3),"",MAX(0,C69-D69))</x:f>
      </x:c>
      <x:c r="F69" s="72" t="str">
        <x:f>IF(A69="","",IFERROR(VLOOKUP(A69,Inventory!$A$5:$F$104,5,FALSE),""))</x:f>
      </x:c>
      <x:c r="G69" s="46" t="str">
        <x:f>IF(A69="","",IF(OR($B$3="",$D$3="",$D$3&lt;$B$3),"Check dates",IF(E69&lt;=0,"Unavailable",IF(E69&lt;C69,"Limited","Available"))))</x:f>
      </x:c>
    </x:row>
    <x:row r="70">
      <x:c r="A70" s="44" t="str">
        <x:f>IF(Inventory!A65="","",Inventory!A65)</x:f>
      </x:c>
      <x:c r="B70" s="45" t="str">
        <x:f>IF(A70="","",IFERROR(VLOOKUP(A70,Inventory!$A$5:$F$104,2,FALSE),""))</x:f>
      </x:c>
      <x:c r="C70" s="66" t="str">
        <x:f>IF(A70="","",IFERROR(VLOOKUP(A70,Inventory!$A$5:$F$104,4,FALSE),""))</x:f>
      </x:c>
      <x:c r="D70" s="66" t="str">
        <x:f>IF(OR(A70="",$B$3="",$D$3="",$D$3&lt;$B$3),"",SUMIFS(Bookings!$D$5:$D$304,Bookings!$C$5:$C$304,A70,Bookings!$E$5:$E$304,"&lt;="&amp;$D$3,Bookings!$F$5:$F$304,"&gt;="&amp;$B$3,Bookings!$G$5:$G$304,"Reserved")+SUMIFS(Bookings!$D$5:$D$304,Bookings!$C$5:$C$304,A70,Bookings!$E$5:$E$304,"&lt;="&amp;$D$3,Bookings!$F$5:$F$304,"&gt;="&amp;$B$3,Bookings!$G$5:$G$304,"Checked out"))</x:f>
      </x:c>
      <x:c r="E70" s="66" t="str">
        <x:f>IF(OR(A70="",C70="",$B$3="",$D$3="",$D$3&lt;$B$3),"",MAX(0,C70-D70))</x:f>
      </x:c>
      <x:c r="F70" s="72" t="str">
        <x:f>IF(A70="","",IFERROR(VLOOKUP(A70,Inventory!$A$5:$F$104,5,FALSE),""))</x:f>
      </x:c>
      <x:c r="G70" s="46" t="str">
        <x:f>IF(A70="","",IF(OR($B$3="",$D$3="",$D$3&lt;$B$3),"Check dates",IF(E70&lt;=0,"Unavailable",IF(E70&lt;C70,"Limited","Available"))))</x:f>
      </x:c>
    </x:row>
    <x:row r="71">
      <x:c r="A71" s="44" t="str">
        <x:f>IF(Inventory!A66="","",Inventory!A66)</x:f>
      </x:c>
      <x:c r="B71" s="45" t="str">
        <x:f>IF(A71="","",IFERROR(VLOOKUP(A71,Inventory!$A$5:$F$104,2,FALSE),""))</x:f>
      </x:c>
      <x:c r="C71" s="66" t="str">
        <x:f>IF(A71="","",IFERROR(VLOOKUP(A71,Inventory!$A$5:$F$104,4,FALSE),""))</x:f>
      </x:c>
      <x:c r="D71" s="66" t="str">
        <x:f>IF(OR(A71="",$B$3="",$D$3="",$D$3&lt;$B$3),"",SUMIFS(Bookings!$D$5:$D$304,Bookings!$C$5:$C$304,A71,Bookings!$E$5:$E$304,"&lt;="&amp;$D$3,Bookings!$F$5:$F$304,"&gt;="&amp;$B$3,Bookings!$G$5:$G$304,"Reserved")+SUMIFS(Bookings!$D$5:$D$304,Bookings!$C$5:$C$304,A71,Bookings!$E$5:$E$304,"&lt;="&amp;$D$3,Bookings!$F$5:$F$304,"&gt;="&amp;$B$3,Bookings!$G$5:$G$304,"Checked out"))</x:f>
      </x:c>
      <x:c r="E71" s="66" t="str">
        <x:f>IF(OR(A71="",C71="",$B$3="",$D$3="",$D$3&lt;$B$3),"",MAX(0,C71-D71))</x:f>
      </x:c>
      <x:c r="F71" s="72" t="str">
        <x:f>IF(A71="","",IFERROR(VLOOKUP(A71,Inventory!$A$5:$F$104,5,FALSE),""))</x:f>
      </x:c>
      <x:c r="G71" s="46" t="str">
        <x:f>IF(A71="","",IF(OR($B$3="",$D$3="",$D$3&lt;$B$3),"Check dates",IF(E71&lt;=0,"Unavailable",IF(E71&lt;C71,"Limited","Available"))))</x:f>
      </x:c>
    </x:row>
    <x:row r="72">
      <x:c r="A72" s="44" t="str">
        <x:f>IF(Inventory!A67="","",Inventory!A67)</x:f>
      </x:c>
      <x:c r="B72" s="45" t="str">
        <x:f>IF(A72="","",IFERROR(VLOOKUP(A72,Inventory!$A$5:$F$104,2,FALSE),""))</x:f>
      </x:c>
      <x:c r="C72" s="66" t="str">
        <x:f>IF(A72="","",IFERROR(VLOOKUP(A72,Inventory!$A$5:$F$104,4,FALSE),""))</x:f>
      </x:c>
      <x:c r="D72" s="66" t="str">
        <x:f>IF(OR(A72="",$B$3="",$D$3="",$D$3&lt;$B$3),"",SUMIFS(Bookings!$D$5:$D$304,Bookings!$C$5:$C$304,A72,Bookings!$E$5:$E$304,"&lt;="&amp;$D$3,Bookings!$F$5:$F$304,"&gt;="&amp;$B$3,Bookings!$G$5:$G$304,"Reserved")+SUMIFS(Bookings!$D$5:$D$304,Bookings!$C$5:$C$304,A72,Bookings!$E$5:$E$304,"&lt;="&amp;$D$3,Bookings!$F$5:$F$304,"&gt;="&amp;$B$3,Bookings!$G$5:$G$304,"Checked out"))</x:f>
      </x:c>
      <x:c r="E72" s="66" t="str">
        <x:f>IF(OR(A72="",C72="",$B$3="",$D$3="",$D$3&lt;$B$3),"",MAX(0,C72-D72))</x:f>
      </x:c>
      <x:c r="F72" s="72" t="str">
        <x:f>IF(A72="","",IFERROR(VLOOKUP(A72,Inventory!$A$5:$F$104,5,FALSE),""))</x:f>
      </x:c>
      <x:c r="G72" s="46" t="str">
        <x:f>IF(A72="","",IF(OR($B$3="",$D$3="",$D$3&lt;$B$3),"Check dates",IF(E72&lt;=0,"Unavailable",IF(E72&lt;C72,"Limited","Available"))))</x:f>
      </x:c>
    </x:row>
    <x:row r="73">
      <x:c r="A73" s="44" t="str">
        <x:f>IF(Inventory!A68="","",Inventory!A68)</x:f>
      </x:c>
      <x:c r="B73" s="45" t="str">
        <x:f>IF(A73="","",IFERROR(VLOOKUP(A73,Inventory!$A$5:$F$104,2,FALSE),""))</x:f>
      </x:c>
      <x:c r="C73" s="66" t="str">
        <x:f>IF(A73="","",IFERROR(VLOOKUP(A73,Inventory!$A$5:$F$104,4,FALSE),""))</x:f>
      </x:c>
      <x:c r="D73" s="66" t="str">
        <x:f>IF(OR(A73="",$B$3="",$D$3="",$D$3&lt;$B$3),"",SUMIFS(Bookings!$D$5:$D$304,Bookings!$C$5:$C$304,A73,Bookings!$E$5:$E$304,"&lt;="&amp;$D$3,Bookings!$F$5:$F$304,"&gt;="&amp;$B$3,Bookings!$G$5:$G$304,"Reserved")+SUMIFS(Bookings!$D$5:$D$304,Bookings!$C$5:$C$304,A73,Bookings!$E$5:$E$304,"&lt;="&amp;$D$3,Bookings!$F$5:$F$304,"&gt;="&amp;$B$3,Bookings!$G$5:$G$304,"Checked out"))</x:f>
      </x:c>
      <x:c r="E73" s="66" t="str">
        <x:f>IF(OR(A73="",C73="",$B$3="",$D$3="",$D$3&lt;$B$3),"",MAX(0,C73-D73))</x:f>
      </x:c>
      <x:c r="F73" s="72" t="str">
        <x:f>IF(A73="","",IFERROR(VLOOKUP(A73,Inventory!$A$5:$F$104,5,FALSE),""))</x:f>
      </x:c>
      <x:c r="G73" s="46" t="str">
        <x:f>IF(A73="","",IF(OR($B$3="",$D$3="",$D$3&lt;$B$3),"Check dates",IF(E73&lt;=0,"Unavailable",IF(E73&lt;C73,"Limited","Available"))))</x:f>
      </x:c>
    </x:row>
    <x:row r="74">
      <x:c r="A74" s="44" t="str">
        <x:f>IF(Inventory!A69="","",Inventory!A69)</x:f>
      </x:c>
      <x:c r="B74" s="45" t="str">
        <x:f>IF(A74="","",IFERROR(VLOOKUP(A74,Inventory!$A$5:$F$104,2,FALSE),""))</x:f>
      </x:c>
      <x:c r="C74" s="66" t="str">
        <x:f>IF(A74="","",IFERROR(VLOOKUP(A74,Inventory!$A$5:$F$104,4,FALSE),""))</x:f>
      </x:c>
      <x:c r="D74" s="66" t="str">
        <x:f>IF(OR(A74="",$B$3="",$D$3="",$D$3&lt;$B$3),"",SUMIFS(Bookings!$D$5:$D$304,Bookings!$C$5:$C$304,A74,Bookings!$E$5:$E$304,"&lt;="&amp;$D$3,Bookings!$F$5:$F$304,"&gt;="&amp;$B$3,Bookings!$G$5:$G$304,"Reserved")+SUMIFS(Bookings!$D$5:$D$304,Bookings!$C$5:$C$304,A74,Bookings!$E$5:$E$304,"&lt;="&amp;$D$3,Bookings!$F$5:$F$304,"&gt;="&amp;$B$3,Bookings!$G$5:$G$304,"Checked out"))</x:f>
      </x:c>
      <x:c r="E74" s="66" t="str">
        <x:f>IF(OR(A74="",C74="",$B$3="",$D$3="",$D$3&lt;$B$3),"",MAX(0,C74-D74))</x:f>
      </x:c>
      <x:c r="F74" s="72" t="str">
        <x:f>IF(A74="","",IFERROR(VLOOKUP(A74,Inventory!$A$5:$F$104,5,FALSE),""))</x:f>
      </x:c>
      <x:c r="G74" s="46" t="str">
        <x:f>IF(A74="","",IF(OR($B$3="",$D$3="",$D$3&lt;$B$3),"Check dates",IF(E74&lt;=0,"Unavailable",IF(E74&lt;C74,"Limited","Available"))))</x:f>
      </x:c>
    </x:row>
    <x:row r="75">
      <x:c r="A75" s="44" t="str">
        <x:f>IF(Inventory!A70="","",Inventory!A70)</x:f>
      </x:c>
      <x:c r="B75" s="45" t="str">
        <x:f>IF(A75="","",IFERROR(VLOOKUP(A75,Inventory!$A$5:$F$104,2,FALSE),""))</x:f>
      </x:c>
      <x:c r="C75" s="66" t="str">
        <x:f>IF(A75="","",IFERROR(VLOOKUP(A75,Inventory!$A$5:$F$104,4,FALSE),""))</x:f>
      </x:c>
      <x:c r="D75" s="66" t="str">
        <x:f>IF(OR(A75="",$B$3="",$D$3="",$D$3&lt;$B$3),"",SUMIFS(Bookings!$D$5:$D$304,Bookings!$C$5:$C$304,A75,Bookings!$E$5:$E$304,"&lt;="&amp;$D$3,Bookings!$F$5:$F$304,"&gt;="&amp;$B$3,Bookings!$G$5:$G$304,"Reserved")+SUMIFS(Bookings!$D$5:$D$304,Bookings!$C$5:$C$304,A75,Bookings!$E$5:$E$304,"&lt;="&amp;$D$3,Bookings!$F$5:$F$304,"&gt;="&amp;$B$3,Bookings!$G$5:$G$304,"Checked out"))</x:f>
      </x:c>
      <x:c r="E75" s="66" t="str">
        <x:f>IF(OR(A75="",C75="",$B$3="",$D$3="",$D$3&lt;$B$3),"",MAX(0,C75-D75))</x:f>
      </x:c>
      <x:c r="F75" s="72" t="str">
        <x:f>IF(A75="","",IFERROR(VLOOKUP(A75,Inventory!$A$5:$F$104,5,FALSE),""))</x:f>
      </x:c>
      <x:c r="G75" s="46" t="str">
        <x:f>IF(A75="","",IF(OR($B$3="",$D$3="",$D$3&lt;$B$3),"Check dates",IF(E75&lt;=0,"Unavailable",IF(E75&lt;C75,"Limited","Available"))))</x:f>
      </x:c>
    </x:row>
    <x:row r="76">
      <x:c r="A76" s="44" t="str">
        <x:f>IF(Inventory!A71="","",Inventory!A71)</x:f>
      </x:c>
      <x:c r="B76" s="45" t="str">
        <x:f>IF(A76="","",IFERROR(VLOOKUP(A76,Inventory!$A$5:$F$104,2,FALSE),""))</x:f>
      </x:c>
      <x:c r="C76" s="66" t="str">
        <x:f>IF(A76="","",IFERROR(VLOOKUP(A76,Inventory!$A$5:$F$104,4,FALSE),""))</x:f>
      </x:c>
      <x:c r="D76" s="66" t="str">
        <x:f>IF(OR(A76="",$B$3="",$D$3="",$D$3&lt;$B$3),"",SUMIFS(Bookings!$D$5:$D$304,Bookings!$C$5:$C$304,A76,Bookings!$E$5:$E$304,"&lt;="&amp;$D$3,Bookings!$F$5:$F$304,"&gt;="&amp;$B$3,Bookings!$G$5:$G$304,"Reserved")+SUMIFS(Bookings!$D$5:$D$304,Bookings!$C$5:$C$304,A76,Bookings!$E$5:$E$304,"&lt;="&amp;$D$3,Bookings!$F$5:$F$304,"&gt;="&amp;$B$3,Bookings!$G$5:$G$304,"Checked out"))</x:f>
      </x:c>
      <x:c r="E76" s="66" t="str">
        <x:f>IF(OR(A76="",C76="",$B$3="",$D$3="",$D$3&lt;$B$3),"",MAX(0,C76-D76))</x:f>
      </x:c>
      <x:c r="F76" s="72" t="str">
        <x:f>IF(A76="","",IFERROR(VLOOKUP(A76,Inventory!$A$5:$F$104,5,FALSE),""))</x:f>
      </x:c>
      <x:c r="G76" s="46" t="str">
        <x:f>IF(A76="","",IF(OR($B$3="",$D$3="",$D$3&lt;$B$3),"Check dates",IF(E76&lt;=0,"Unavailable",IF(E76&lt;C76,"Limited","Available"))))</x:f>
      </x:c>
    </x:row>
    <x:row r="77">
      <x:c r="A77" s="44" t="str">
        <x:f>IF(Inventory!A72="","",Inventory!A72)</x:f>
      </x:c>
      <x:c r="B77" s="45" t="str">
        <x:f>IF(A77="","",IFERROR(VLOOKUP(A77,Inventory!$A$5:$F$104,2,FALSE),""))</x:f>
      </x:c>
      <x:c r="C77" s="66" t="str">
        <x:f>IF(A77="","",IFERROR(VLOOKUP(A77,Inventory!$A$5:$F$104,4,FALSE),""))</x:f>
      </x:c>
      <x:c r="D77" s="66" t="str">
        <x:f>IF(OR(A77="",$B$3="",$D$3="",$D$3&lt;$B$3),"",SUMIFS(Bookings!$D$5:$D$304,Bookings!$C$5:$C$304,A77,Bookings!$E$5:$E$304,"&lt;="&amp;$D$3,Bookings!$F$5:$F$304,"&gt;="&amp;$B$3,Bookings!$G$5:$G$304,"Reserved")+SUMIFS(Bookings!$D$5:$D$304,Bookings!$C$5:$C$304,A77,Bookings!$E$5:$E$304,"&lt;="&amp;$D$3,Bookings!$F$5:$F$304,"&gt;="&amp;$B$3,Bookings!$G$5:$G$304,"Checked out"))</x:f>
      </x:c>
      <x:c r="E77" s="66" t="str">
        <x:f>IF(OR(A77="",C77="",$B$3="",$D$3="",$D$3&lt;$B$3),"",MAX(0,C77-D77))</x:f>
      </x:c>
      <x:c r="F77" s="72" t="str">
        <x:f>IF(A77="","",IFERROR(VLOOKUP(A77,Inventory!$A$5:$F$104,5,FALSE),""))</x:f>
      </x:c>
      <x:c r="G77" s="46" t="str">
        <x:f>IF(A77="","",IF(OR($B$3="",$D$3="",$D$3&lt;$B$3),"Check dates",IF(E77&lt;=0,"Unavailable",IF(E77&lt;C77,"Limited","Available"))))</x:f>
      </x:c>
    </x:row>
    <x:row r="78">
      <x:c r="A78" s="44" t="str">
        <x:f>IF(Inventory!A73="","",Inventory!A73)</x:f>
      </x:c>
      <x:c r="B78" s="45" t="str">
        <x:f>IF(A78="","",IFERROR(VLOOKUP(A78,Inventory!$A$5:$F$104,2,FALSE),""))</x:f>
      </x:c>
      <x:c r="C78" s="66" t="str">
        <x:f>IF(A78="","",IFERROR(VLOOKUP(A78,Inventory!$A$5:$F$104,4,FALSE),""))</x:f>
      </x:c>
      <x:c r="D78" s="66" t="str">
        <x:f>IF(OR(A78="",$B$3="",$D$3="",$D$3&lt;$B$3),"",SUMIFS(Bookings!$D$5:$D$304,Bookings!$C$5:$C$304,A78,Bookings!$E$5:$E$304,"&lt;="&amp;$D$3,Bookings!$F$5:$F$304,"&gt;="&amp;$B$3,Bookings!$G$5:$G$304,"Reserved")+SUMIFS(Bookings!$D$5:$D$304,Bookings!$C$5:$C$304,A78,Bookings!$E$5:$E$304,"&lt;="&amp;$D$3,Bookings!$F$5:$F$304,"&gt;="&amp;$B$3,Bookings!$G$5:$G$304,"Checked out"))</x:f>
      </x:c>
      <x:c r="E78" s="66" t="str">
        <x:f>IF(OR(A78="",C78="",$B$3="",$D$3="",$D$3&lt;$B$3),"",MAX(0,C78-D78))</x:f>
      </x:c>
      <x:c r="F78" s="72" t="str">
        <x:f>IF(A78="","",IFERROR(VLOOKUP(A78,Inventory!$A$5:$F$104,5,FALSE),""))</x:f>
      </x:c>
      <x:c r="G78" s="46" t="str">
        <x:f>IF(A78="","",IF(OR($B$3="",$D$3="",$D$3&lt;$B$3),"Check dates",IF(E78&lt;=0,"Unavailable",IF(E78&lt;C78,"Limited","Available"))))</x:f>
      </x:c>
    </x:row>
    <x:row r="79">
      <x:c r="A79" s="44" t="str">
        <x:f>IF(Inventory!A74="","",Inventory!A74)</x:f>
      </x:c>
      <x:c r="B79" s="45" t="str">
        <x:f>IF(A79="","",IFERROR(VLOOKUP(A79,Inventory!$A$5:$F$104,2,FALSE),""))</x:f>
      </x:c>
      <x:c r="C79" s="66" t="str">
        <x:f>IF(A79="","",IFERROR(VLOOKUP(A79,Inventory!$A$5:$F$104,4,FALSE),""))</x:f>
      </x:c>
      <x:c r="D79" s="66" t="str">
        <x:f>IF(OR(A79="",$B$3="",$D$3="",$D$3&lt;$B$3),"",SUMIFS(Bookings!$D$5:$D$304,Bookings!$C$5:$C$304,A79,Bookings!$E$5:$E$304,"&lt;="&amp;$D$3,Bookings!$F$5:$F$304,"&gt;="&amp;$B$3,Bookings!$G$5:$G$304,"Reserved")+SUMIFS(Bookings!$D$5:$D$304,Bookings!$C$5:$C$304,A79,Bookings!$E$5:$E$304,"&lt;="&amp;$D$3,Bookings!$F$5:$F$304,"&gt;="&amp;$B$3,Bookings!$G$5:$G$304,"Checked out"))</x:f>
      </x:c>
      <x:c r="E79" s="66" t="str">
        <x:f>IF(OR(A79="",C79="",$B$3="",$D$3="",$D$3&lt;$B$3),"",MAX(0,C79-D79))</x:f>
      </x:c>
      <x:c r="F79" s="72" t="str">
        <x:f>IF(A79="","",IFERROR(VLOOKUP(A79,Inventory!$A$5:$F$104,5,FALSE),""))</x:f>
      </x:c>
      <x:c r="G79" s="46" t="str">
        <x:f>IF(A79="","",IF(OR($B$3="",$D$3="",$D$3&lt;$B$3),"Check dates",IF(E79&lt;=0,"Unavailable",IF(E79&lt;C79,"Limited","Available"))))</x:f>
      </x:c>
    </x:row>
    <x:row r="80">
      <x:c r="A80" s="44" t="str">
        <x:f>IF(Inventory!A75="","",Inventory!A75)</x:f>
      </x:c>
      <x:c r="B80" s="45" t="str">
        <x:f>IF(A80="","",IFERROR(VLOOKUP(A80,Inventory!$A$5:$F$104,2,FALSE),""))</x:f>
      </x:c>
      <x:c r="C80" s="66" t="str">
        <x:f>IF(A80="","",IFERROR(VLOOKUP(A80,Inventory!$A$5:$F$104,4,FALSE),""))</x:f>
      </x:c>
      <x:c r="D80" s="66" t="str">
        <x:f>IF(OR(A80="",$B$3="",$D$3="",$D$3&lt;$B$3),"",SUMIFS(Bookings!$D$5:$D$304,Bookings!$C$5:$C$304,A80,Bookings!$E$5:$E$304,"&lt;="&amp;$D$3,Bookings!$F$5:$F$304,"&gt;="&amp;$B$3,Bookings!$G$5:$G$304,"Reserved")+SUMIFS(Bookings!$D$5:$D$304,Bookings!$C$5:$C$304,A80,Bookings!$E$5:$E$304,"&lt;="&amp;$D$3,Bookings!$F$5:$F$304,"&gt;="&amp;$B$3,Bookings!$G$5:$G$304,"Checked out"))</x:f>
      </x:c>
      <x:c r="E80" s="66" t="str">
        <x:f>IF(OR(A80="",C80="",$B$3="",$D$3="",$D$3&lt;$B$3),"",MAX(0,C80-D80))</x:f>
      </x:c>
      <x:c r="F80" s="72" t="str">
        <x:f>IF(A80="","",IFERROR(VLOOKUP(A80,Inventory!$A$5:$F$104,5,FALSE),""))</x:f>
      </x:c>
      <x:c r="G80" s="46" t="str">
        <x:f>IF(A80="","",IF(OR($B$3="",$D$3="",$D$3&lt;$B$3),"Check dates",IF(E80&lt;=0,"Unavailable",IF(E80&lt;C80,"Limited","Available"))))</x:f>
      </x:c>
    </x:row>
    <x:row r="81">
      <x:c r="A81" s="44" t="str">
        <x:f>IF(Inventory!A76="","",Inventory!A76)</x:f>
      </x:c>
      <x:c r="B81" s="45" t="str">
        <x:f>IF(A81="","",IFERROR(VLOOKUP(A81,Inventory!$A$5:$F$104,2,FALSE),""))</x:f>
      </x:c>
      <x:c r="C81" s="66" t="str">
        <x:f>IF(A81="","",IFERROR(VLOOKUP(A81,Inventory!$A$5:$F$104,4,FALSE),""))</x:f>
      </x:c>
      <x:c r="D81" s="66" t="str">
        <x:f>IF(OR(A81="",$B$3="",$D$3="",$D$3&lt;$B$3),"",SUMIFS(Bookings!$D$5:$D$304,Bookings!$C$5:$C$304,A81,Bookings!$E$5:$E$304,"&lt;="&amp;$D$3,Bookings!$F$5:$F$304,"&gt;="&amp;$B$3,Bookings!$G$5:$G$304,"Reserved")+SUMIFS(Bookings!$D$5:$D$304,Bookings!$C$5:$C$304,A81,Bookings!$E$5:$E$304,"&lt;="&amp;$D$3,Bookings!$F$5:$F$304,"&gt;="&amp;$B$3,Bookings!$G$5:$G$304,"Checked out"))</x:f>
      </x:c>
      <x:c r="E81" s="66" t="str">
        <x:f>IF(OR(A81="",C81="",$B$3="",$D$3="",$D$3&lt;$B$3),"",MAX(0,C81-D81))</x:f>
      </x:c>
      <x:c r="F81" s="72" t="str">
        <x:f>IF(A81="","",IFERROR(VLOOKUP(A81,Inventory!$A$5:$F$104,5,FALSE),""))</x:f>
      </x:c>
      <x:c r="G81" s="46" t="str">
        <x:f>IF(A81="","",IF(OR($B$3="",$D$3="",$D$3&lt;$B$3),"Check dates",IF(E81&lt;=0,"Unavailable",IF(E81&lt;C81,"Limited","Available"))))</x:f>
      </x:c>
    </x:row>
    <x:row r="82">
      <x:c r="A82" s="44" t="str">
        <x:f>IF(Inventory!A77="","",Inventory!A77)</x:f>
      </x:c>
      <x:c r="B82" s="45" t="str">
        <x:f>IF(A82="","",IFERROR(VLOOKUP(A82,Inventory!$A$5:$F$104,2,FALSE),""))</x:f>
      </x:c>
      <x:c r="C82" s="66" t="str">
        <x:f>IF(A82="","",IFERROR(VLOOKUP(A82,Inventory!$A$5:$F$104,4,FALSE),""))</x:f>
      </x:c>
      <x:c r="D82" s="66" t="str">
        <x:f>IF(OR(A82="",$B$3="",$D$3="",$D$3&lt;$B$3),"",SUMIFS(Bookings!$D$5:$D$304,Bookings!$C$5:$C$304,A82,Bookings!$E$5:$E$304,"&lt;="&amp;$D$3,Bookings!$F$5:$F$304,"&gt;="&amp;$B$3,Bookings!$G$5:$G$304,"Reserved")+SUMIFS(Bookings!$D$5:$D$304,Bookings!$C$5:$C$304,A82,Bookings!$E$5:$E$304,"&lt;="&amp;$D$3,Bookings!$F$5:$F$304,"&gt;="&amp;$B$3,Bookings!$G$5:$G$304,"Checked out"))</x:f>
      </x:c>
      <x:c r="E82" s="66" t="str">
        <x:f>IF(OR(A82="",C82="",$B$3="",$D$3="",$D$3&lt;$B$3),"",MAX(0,C82-D82))</x:f>
      </x:c>
      <x:c r="F82" s="72" t="str">
        <x:f>IF(A82="","",IFERROR(VLOOKUP(A82,Inventory!$A$5:$F$104,5,FALSE),""))</x:f>
      </x:c>
      <x:c r="G82" s="46" t="str">
        <x:f>IF(A82="","",IF(OR($B$3="",$D$3="",$D$3&lt;$B$3),"Check dates",IF(E82&lt;=0,"Unavailable",IF(E82&lt;C82,"Limited","Available"))))</x:f>
      </x:c>
    </x:row>
    <x:row r="83">
      <x:c r="A83" s="44" t="str">
        <x:f>IF(Inventory!A78="","",Inventory!A78)</x:f>
      </x:c>
      <x:c r="B83" s="45" t="str">
        <x:f>IF(A83="","",IFERROR(VLOOKUP(A83,Inventory!$A$5:$F$104,2,FALSE),""))</x:f>
      </x:c>
      <x:c r="C83" s="66" t="str">
        <x:f>IF(A83="","",IFERROR(VLOOKUP(A83,Inventory!$A$5:$F$104,4,FALSE),""))</x:f>
      </x:c>
      <x:c r="D83" s="66" t="str">
        <x:f>IF(OR(A83="",$B$3="",$D$3="",$D$3&lt;$B$3),"",SUMIFS(Bookings!$D$5:$D$304,Bookings!$C$5:$C$304,A83,Bookings!$E$5:$E$304,"&lt;="&amp;$D$3,Bookings!$F$5:$F$304,"&gt;="&amp;$B$3,Bookings!$G$5:$G$304,"Reserved")+SUMIFS(Bookings!$D$5:$D$304,Bookings!$C$5:$C$304,A83,Bookings!$E$5:$E$304,"&lt;="&amp;$D$3,Bookings!$F$5:$F$304,"&gt;="&amp;$B$3,Bookings!$G$5:$G$304,"Checked out"))</x:f>
      </x:c>
      <x:c r="E83" s="66" t="str">
        <x:f>IF(OR(A83="",C83="",$B$3="",$D$3="",$D$3&lt;$B$3),"",MAX(0,C83-D83))</x:f>
      </x:c>
      <x:c r="F83" s="72" t="str">
        <x:f>IF(A83="","",IFERROR(VLOOKUP(A83,Inventory!$A$5:$F$104,5,FALSE),""))</x:f>
      </x:c>
      <x:c r="G83" s="46" t="str">
        <x:f>IF(A83="","",IF(OR($B$3="",$D$3="",$D$3&lt;$B$3),"Check dates",IF(E83&lt;=0,"Unavailable",IF(E83&lt;C83,"Limited","Available"))))</x:f>
      </x:c>
    </x:row>
    <x:row r="84">
      <x:c r="A84" s="44" t="str">
        <x:f>IF(Inventory!A79="","",Inventory!A79)</x:f>
      </x:c>
      <x:c r="B84" s="45" t="str">
        <x:f>IF(A84="","",IFERROR(VLOOKUP(A84,Inventory!$A$5:$F$104,2,FALSE),""))</x:f>
      </x:c>
      <x:c r="C84" s="66" t="str">
        <x:f>IF(A84="","",IFERROR(VLOOKUP(A84,Inventory!$A$5:$F$104,4,FALSE),""))</x:f>
      </x:c>
      <x:c r="D84" s="66" t="str">
        <x:f>IF(OR(A84="",$B$3="",$D$3="",$D$3&lt;$B$3),"",SUMIFS(Bookings!$D$5:$D$304,Bookings!$C$5:$C$304,A84,Bookings!$E$5:$E$304,"&lt;="&amp;$D$3,Bookings!$F$5:$F$304,"&gt;="&amp;$B$3,Bookings!$G$5:$G$304,"Reserved")+SUMIFS(Bookings!$D$5:$D$304,Bookings!$C$5:$C$304,A84,Bookings!$E$5:$E$304,"&lt;="&amp;$D$3,Bookings!$F$5:$F$304,"&gt;="&amp;$B$3,Bookings!$G$5:$G$304,"Checked out"))</x:f>
      </x:c>
      <x:c r="E84" s="66" t="str">
        <x:f>IF(OR(A84="",C84="",$B$3="",$D$3="",$D$3&lt;$B$3),"",MAX(0,C84-D84))</x:f>
      </x:c>
      <x:c r="F84" s="72" t="str">
        <x:f>IF(A84="","",IFERROR(VLOOKUP(A84,Inventory!$A$5:$F$104,5,FALSE),""))</x:f>
      </x:c>
      <x:c r="G84" s="46" t="str">
        <x:f>IF(A84="","",IF(OR($B$3="",$D$3="",$D$3&lt;$B$3),"Check dates",IF(E84&lt;=0,"Unavailable",IF(E84&lt;C84,"Limited","Available"))))</x:f>
      </x:c>
    </x:row>
    <x:row r="85">
      <x:c r="A85" s="44" t="str">
        <x:f>IF(Inventory!A80="","",Inventory!A80)</x:f>
      </x:c>
      <x:c r="B85" s="45" t="str">
        <x:f>IF(A85="","",IFERROR(VLOOKUP(A85,Inventory!$A$5:$F$104,2,FALSE),""))</x:f>
      </x:c>
      <x:c r="C85" s="66" t="str">
        <x:f>IF(A85="","",IFERROR(VLOOKUP(A85,Inventory!$A$5:$F$104,4,FALSE),""))</x:f>
      </x:c>
      <x:c r="D85" s="66" t="str">
        <x:f>IF(OR(A85="",$B$3="",$D$3="",$D$3&lt;$B$3),"",SUMIFS(Bookings!$D$5:$D$304,Bookings!$C$5:$C$304,A85,Bookings!$E$5:$E$304,"&lt;="&amp;$D$3,Bookings!$F$5:$F$304,"&gt;="&amp;$B$3,Bookings!$G$5:$G$304,"Reserved")+SUMIFS(Bookings!$D$5:$D$304,Bookings!$C$5:$C$304,A85,Bookings!$E$5:$E$304,"&lt;="&amp;$D$3,Bookings!$F$5:$F$304,"&gt;="&amp;$B$3,Bookings!$G$5:$G$304,"Checked out"))</x:f>
      </x:c>
      <x:c r="E85" s="66" t="str">
        <x:f>IF(OR(A85="",C85="",$B$3="",$D$3="",$D$3&lt;$B$3),"",MAX(0,C85-D85))</x:f>
      </x:c>
      <x:c r="F85" s="72" t="str">
        <x:f>IF(A85="","",IFERROR(VLOOKUP(A85,Inventory!$A$5:$F$104,5,FALSE),""))</x:f>
      </x:c>
      <x:c r="G85" s="46" t="str">
        <x:f>IF(A85="","",IF(OR($B$3="",$D$3="",$D$3&lt;$B$3),"Check dates",IF(E85&lt;=0,"Unavailable",IF(E85&lt;C85,"Limited","Available"))))</x:f>
      </x:c>
    </x:row>
    <x:row r="86">
      <x:c r="A86" s="44" t="str">
        <x:f>IF(Inventory!A81="","",Inventory!A81)</x:f>
      </x:c>
      <x:c r="B86" s="45" t="str">
        <x:f>IF(A86="","",IFERROR(VLOOKUP(A86,Inventory!$A$5:$F$104,2,FALSE),""))</x:f>
      </x:c>
      <x:c r="C86" s="66" t="str">
        <x:f>IF(A86="","",IFERROR(VLOOKUP(A86,Inventory!$A$5:$F$104,4,FALSE),""))</x:f>
      </x:c>
      <x:c r="D86" s="66" t="str">
        <x:f>IF(OR(A86="",$B$3="",$D$3="",$D$3&lt;$B$3),"",SUMIFS(Bookings!$D$5:$D$304,Bookings!$C$5:$C$304,A86,Bookings!$E$5:$E$304,"&lt;="&amp;$D$3,Bookings!$F$5:$F$304,"&gt;="&amp;$B$3,Bookings!$G$5:$G$304,"Reserved")+SUMIFS(Bookings!$D$5:$D$304,Bookings!$C$5:$C$304,A86,Bookings!$E$5:$E$304,"&lt;="&amp;$D$3,Bookings!$F$5:$F$304,"&gt;="&amp;$B$3,Bookings!$G$5:$G$304,"Checked out"))</x:f>
      </x:c>
      <x:c r="E86" s="66" t="str">
        <x:f>IF(OR(A86="",C86="",$B$3="",$D$3="",$D$3&lt;$B$3),"",MAX(0,C86-D86))</x:f>
      </x:c>
      <x:c r="F86" s="72" t="str">
        <x:f>IF(A86="","",IFERROR(VLOOKUP(A86,Inventory!$A$5:$F$104,5,FALSE),""))</x:f>
      </x:c>
      <x:c r="G86" s="46" t="str">
        <x:f>IF(A86="","",IF(OR($B$3="",$D$3="",$D$3&lt;$B$3),"Check dates",IF(E86&lt;=0,"Unavailable",IF(E86&lt;C86,"Limited","Available"))))</x:f>
      </x:c>
    </x:row>
    <x:row r="87">
      <x:c r="A87" s="44" t="str">
        <x:f>IF(Inventory!A82="","",Inventory!A82)</x:f>
      </x:c>
      <x:c r="B87" s="45" t="str">
        <x:f>IF(A87="","",IFERROR(VLOOKUP(A87,Inventory!$A$5:$F$104,2,FALSE),""))</x:f>
      </x:c>
      <x:c r="C87" s="66" t="str">
        <x:f>IF(A87="","",IFERROR(VLOOKUP(A87,Inventory!$A$5:$F$104,4,FALSE),""))</x:f>
      </x:c>
      <x:c r="D87" s="66" t="str">
        <x:f>IF(OR(A87="",$B$3="",$D$3="",$D$3&lt;$B$3),"",SUMIFS(Bookings!$D$5:$D$304,Bookings!$C$5:$C$304,A87,Bookings!$E$5:$E$304,"&lt;="&amp;$D$3,Bookings!$F$5:$F$304,"&gt;="&amp;$B$3,Bookings!$G$5:$G$304,"Reserved")+SUMIFS(Bookings!$D$5:$D$304,Bookings!$C$5:$C$304,A87,Bookings!$E$5:$E$304,"&lt;="&amp;$D$3,Bookings!$F$5:$F$304,"&gt;="&amp;$B$3,Bookings!$G$5:$G$304,"Checked out"))</x:f>
      </x:c>
      <x:c r="E87" s="66" t="str">
        <x:f>IF(OR(A87="",C87="",$B$3="",$D$3="",$D$3&lt;$B$3),"",MAX(0,C87-D87))</x:f>
      </x:c>
      <x:c r="F87" s="72" t="str">
        <x:f>IF(A87="","",IFERROR(VLOOKUP(A87,Inventory!$A$5:$F$104,5,FALSE),""))</x:f>
      </x:c>
      <x:c r="G87" s="46" t="str">
        <x:f>IF(A87="","",IF(OR($B$3="",$D$3="",$D$3&lt;$B$3),"Check dates",IF(E87&lt;=0,"Unavailable",IF(E87&lt;C87,"Limited","Available"))))</x:f>
      </x:c>
    </x:row>
    <x:row r="88">
      <x:c r="A88" s="44" t="str">
        <x:f>IF(Inventory!A83="","",Inventory!A83)</x:f>
      </x:c>
      <x:c r="B88" s="45" t="str">
        <x:f>IF(A88="","",IFERROR(VLOOKUP(A88,Inventory!$A$5:$F$104,2,FALSE),""))</x:f>
      </x:c>
      <x:c r="C88" s="66" t="str">
        <x:f>IF(A88="","",IFERROR(VLOOKUP(A88,Inventory!$A$5:$F$104,4,FALSE),""))</x:f>
      </x:c>
      <x:c r="D88" s="66" t="str">
        <x:f>IF(OR(A88="",$B$3="",$D$3="",$D$3&lt;$B$3),"",SUMIFS(Bookings!$D$5:$D$304,Bookings!$C$5:$C$304,A88,Bookings!$E$5:$E$304,"&lt;="&amp;$D$3,Bookings!$F$5:$F$304,"&gt;="&amp;$B$3,Bookings!$G$5:$G$304,"Reserved")+SUMIFS(Bookings!$D$5:$D$304,Bookings!$C$5:$C$304,A88,Bookings!$E$5:$E$304,"&lt;="&amp;$D$3,Bookings!$F$5:$F$304,"&gt;="&amp;$B$3,Bookings!$G$5:$G$304,"Checked out"))</x:f>
      </x:c>
      <x:c r="E88" s="66" t="str">
        <x:f>IF(OR(A88="",C88="",$B$3="",$D$3="",$D$3&lt;$B$3),"",MAX(0,C88-D88))</x:f>
      </x:c>
      <x:c r="F88" s="72" t="str">
        <x:f>IF(A88="","",IFERROR(VLOOKUP(A88,Inventory!$A$5:$F$104,5,FALSE),""))</x:f>
      </x:c>
      <x:c r="G88" s="46" t="str">
        <x:f>IF(A88="","",IF(OR($B$3="",$D$3="",$D$3&lt;$B$3),"Check dates",IF(E88&lt;=0,"Unavailable",IF(E88&lt;C88,"Limited","Available"))))</x:f>
      </x:c>
    </x:row>
    <x:row r="89">
      <x:c r="A89" s="44" t="str">
        <x:f>IF(Inventory!A84="","",Inventory!A84)</x:f>
      </x:c>
      <x:c r="B89" s="45" t="str">
        <x:f>IF(A89="","",IFERROR(VLOOKUP(A89,Inventory!$A$5:$F$104,2,FALSE),""))</x:f>
      </x:c>
      <x:c r="C89" s="66" t="str">
        <x:f>IF(A89="","",IFERROR(VLOOKUP(A89,Inventory!$A$5:$F$104,4,FALSE),""))</x:f>
      </x:c>
      <x:c r="D89" s="66" t="str">
        <x:f>IF(OR(A89="",$B$3="",$D$3="",$D$3&lt;$B$3),"",SUMIFS(Bookings!$D$5:$D$304,Bookings!$C$5:$C$304,A89,Bookings!$E$5:$E$304,"&lt;="&amp;$D$3,Bookings!$F$5:$F$304,"&gt;="&amp;$B$3,Bookings!$G$5:$G$304,"Reserved")+SUMIFS(Bookings!$D$5:$D$304,Bookings!$C$5:$C$304,A89,Bookings!$E$5:$E$304,"&lt;="&amp;$D$3,Bookings!$F$5:$F$304,"&gt;="&amp;$B$3,Bookings!$G$5:$G$304,"Checked out"))</x:f>
      </x:c>
      <x:c r="E89" s="66" t="str">
        <x:f>IF(OR(A89="",C89="",$B$3="",$D$3="",$D$3&lt;$B$3),"",MAX(0,C89-D89))</x:f>
      </x:c>
      <x:c r="F89" s="72" t="str">
        <x:f>IF(A89="","",IFERROR(VLOOKUP(A89,Inventory!$A$5:$F$104,5,FALSE),""))</x:f>
      </x:c>
      <x:c r="G89" s="46" t="str">
        <x:f>IF(A89="","",IF(OR($B$3="",$D$3="",$D$3&lt;$B$3),"Check dates",IF(E89&lt;=0,"Unavailable",IF(E89&lt;C89,"Limited","Available"))))</x:f>
      </x:c>
    </x:row>
    <x:row r="90">
      <x:c r="A90" s="44" t="str">
        <x:f>IF(Inventory!A85="","",Inventory!A85)</x:f>
      </x:c>
      <x:c r="B90" s="45" t="str">
        <x:f>IF(A90="","",IFERROR(VLOOKUP(A90,Inventory!$A$5:$F$104,2,FALSE),""))</x:f>
      </x:c>
      <x:c r="C90" s="66" t="str">
        <x:f>IF(A90="","",IFERROR(VLOOKUP(A90,Inventory!$A$5:$F$104,4,FALSE),""))</x:f>
      </x:c>
      <x:c r="D90" s="66" t="str">
        <x:f>IF(OR(A90="",$B$3="",$D$3="",$D$3&lt;$B$3),"",SUMIFS(Bookings!$D$5:$D$304,Bookings!$C$5:$C$304,A90,Bookings!$E$5:$E$304,"&lt;="&amp;$D$3,Bookings!$F$5:$F$304,"&gt;="&amp;$B$3,Bookings!$G$5:$G$304,"Reserved")+SUMIFS(Bookings!$D$5:$D$304,Bookings!$C$5:$C$304,A90,Bookings!$E$5:$E$304,"&lt;="&amp;$D$3,Bookings!$F$5:$F$304,"&gt;="&amp;$B$3,Bookings!$G$5:$G$304,"Checked out"))</x:f>
      </x:c>
      <x:c r="E90" s="66" t="str">
        <x:f>IF(OR(A90="",C90="",$B$3="",$D$3="",$D$3&lt;$B$3),"",MAX(0,C90-D90))</x:f>
      </x:c>
      <x:c r="F90" s="72" t="str">
        <x:f>IF(A90="","",IFERROR(VLOOKUP(A90,Inventory!$A$5:$F$104,5,FALSE),""))</x:f>
      </x:c>
      <x:c r="G90" s="46" t="str">
        <x:f>IF(A90="","",IF(OR($B$3="",$D$3="",$D$3&lt;$B$3),"Check dates",IF(E90&lt;=0,"Unavailable",IF(E90&lt;C90,"Limited","Available"))))</x:f>
      </x:c>
    </x:row>
    <x:row r="91">
      <x:c r="A91" s="44" t="str">
        <x:f>IF(Inventory!A86="","",Inventory!A86)</x:f>
      </x:c>
      <x:c r="B91" s="45" t="str">
        <x:f>IF(A91="","",IFERROR(VLOOKUP(A91,Inventory!$A$5:$F$104,2,FALSE),""))</x:f>
      </x:c>
      <x:c r="C91" s="66" t="str">
        <x:f>IF(A91="","",IFERROR(VLOOKUP(A91,Inventory!$A$5:$F$104,4,FALSE),""))</x:f>
      </x:c>
      <x:c r="D91" s="66" t="str">
        <x:f>IF(OR(A91="",$B$3="",$D$3="",$D$3&lt;$B$3),"",SUMIFS(Bookings!$D$5:$D$304,Bookings!$C$5:$C$304,A91,Bookings!$E$5:$E$304,"&lt;="&amp;$D$3,Bookings!$F$5:$F$304,"&gt;="&amp;$B$3,Bookings!$G$5:$G$304,"Reserved")+SUMIFS(Bookings!$D$5:$D$304,Bookings!$C$5:$C$304,A91,Bookings!$E$5:$E$304,"&lt;="&amp;$D$3,Bookings!$F$5:$F$304,"&gt;="&amp;$B$3,Bookings!$G$5:$G$304,"Checked out"))</x:f>
      </x:c>
      <x:c r="E91" s="66" t="str">
        <x:f>IF(OR(A91="",C91="",$B$3="",$D$3="",$D$3&lt;$B$3),"",MAX(0,C91-D91))</x:f>
      </x:c>
      <x:c r="F91" s="72" t="str">
        <x:f>IF(A91="","",IFERROR(VLOOKUP(A91,Inventory!$A$5:$F$104,5,FALSE),""))</x:f>
      </x:c>
      <x:c r="G91" s="46" t="str">
        <x:f>IF(A91="","",IF(OR($B$3="",$D$3="",$D$3&lt;$B$3),"Check dates",IF(E91&lt;=0,"Unavailable",IF(E91&lt;C91,"Limited","Available"))))</x:f>
      </x:c>
    </x:row>
    <x:row r="92">
      <x:c r="A92" s="44" t="str">
        <x:f>IF(Inventory!A87="","",Inventory!A87)</x:f>
      </x:c>
      <x:c r="B92" s="45" t="str">
        <x:f>IF(A92="","",IFERROR(VLOOKUP(A92,Inventory!$A$5:$F$104,2,FALSE),""))</x:f>
      </x:c>
      <x:c r="C92" s="66" t="str">
        <x:f>IF(A92="","",IFERROR(VLOOKUP(A92,Inventory!$A$5:$F$104,4,FALSE),""))</x:f>
      </x:c>
      <x:c r="D92" s="66" t="str">
        <x:f>IF(OR(A92="",$B$3="",$D$3="",$D$3&lt;$B$3),"",SUMIFS(Bookings!$D$5:$D$304,Bookings!$C$5:$C$304,A92,Bookings!$E$5:$E$304,"&lt;="&amp;$D$3,Bookings!$F$5:$F$304,"&gt;="&amp;$B$3,Bookings!$G$5:$G$304,"Reserved")+SUMIFS(Bookings!$D$5:$D$304,Bookings!$C$5:$C$304,A92,Bookings!$E$5:$E$304,"&lt;="&amp;$D$3,Bookings!$F$5:$F$304,"&gt;="&amp;$B$3,Bookings!$G$5:$G$304,"Checked out"))</x:f>
      </x:c>
      <x:c r="E92" s="66" t="str">
        <x:f>IF(OR(A92="",C92="",$B$3="",$D$3="",$D$3&lt;$B$3),"",MAX(0,C92-D92))</x:f>
      </x:c>
      <x:c r="F92" s="72" t="str">
        <x:f>IF(A92="","",IFERROR(VLOOKUP(A92,Inventory!$A$5:$F$104,5,FALSE),""))</x:f>
      </x:c>
      <x:c r="G92" s="46" t="str">
        <x:f>IF(A92="","",IF(OR($B$3="",$D$3="",$D$3&lt;$B$3),"Check dates",IF(E92&lt;=0,"Unavailable",IF(E92&lt;C92,"Limited","Available"))))</x:f>
      </x:c>
    </x:row>
    <x:row r="93">
      <x:c r="A93" s="44" t="str">
        <x:f>IF(Inventory!A88="","",Inventory!A88)</x:f>
      </x:c>
      <x:c r="B93" s="45" t="str">
        <x:f>IF(A93="","",IFERROR(VLOOKUP(A93,Inventory!$A$5:$F$104,2,FALSE),""))</x:f>
      </x:c>
      <x:c r="C93" s="66" t="str">
        <x:f>IF(A93="","",IFERROR(VLOOKUP(A93,Inventory!$A$5:$F$104,4,FALSE),""))</x:f>
      </x:c>
      <x:c r="D93" s="66" t="str">
        <x:f>IF(OR(A93="",$B$3="",$D$3="",$D$3&lt;$B$3),"",SUMIFS(Bookings!$D$5:$D$304,Bookings!$C$5:$C$304,A93,Bookings!$E$5:$E$304,"&lt;="&amp;$D$3,Bookings!$F$5:$F$304,"&gt;="&amp;$B$3,Bookings!$G$5:$G$304,"Reserved")+SUMIFS(Bookings!$D$5:$D$304,Bookings!$C$5:$C$304,A93,Bookings!$E$5:$E$304,"&lt;="&amp;$D$3,Bookings!$F$5:$F$304,"&gt;="&amp;$B$3,Bookings!$G$5:$G$304,"Checked out"))</x:f>
      </x:c>
      <x:c r="E93" s="66" t="str">
        <x:f>IF(OR(A93="",C93="",$B$3="",$D$3="",$D$3&lt;$B$3),"",MAX(0,C93-D93))</x:f>
      </x:c>
      <x:c r="F93" s="72" t="str">
        <x:f>IF(A93="","",IFERROR(VLOOKUP(A93,Inventory!$A$5:$F$104,5,FALSE),""))</x:f>
      </x:c>
      <x:c r="G93" s="46" t="str">
        <x:f>IF(A93="","",IF(OR($B$3="",$D$3="",$D$3&lt;$B$3),"Check dates",IF(E93&lt;=0,"Unavailable",IF(E93&lt;C93,"Limited","Available"))))</x:f>
      </x:c>
    </x:row>
    <x:row r="94">
      <x:c r="A94" s="44" t="str">
        <x:f>IF(Inventory!A89="","",Inventory!A89)</x:f>
      </x:c>
      <x:c r="B94" s="45" t="str">
        <x:f>IF(A94="","",IFERROR(VLOOKUP(A94,Inventory!$A$5:$F$104,2,FALSE),""))</x:f>
      </x:c>
      <x:c r="C94" s="66" t="str">
        <x:f>IF(A94="","",IFERROR(VLOOKUP(A94,Inventory!$A$5:$F$104,4,FALSE),""))</x:f>
      </x:c>
      <x:c r="D94" s="66" t="str">
        <x:f>IF(OR(A94="",$B$3="",$D$3="",$D$3&lt;$B$3),"",SUMIFS(Bookings!$D$5:$D$304,Bookings!$C$5:$C$304,A94,Bookings!$E$5:$E$304,"&lt;="&amp;$D$3,Bookings!$F$5:$F$304,"&gt;="&amp;$B$3,Bookings!$G$5:$G$304,"Reserved")+SUMIFS(Bookings!$D$5:$D$304,Bookings!$C$5:$C$304,A94,Bookings!$E$5:$E$304,"&lt;="&amp;$D$3,Bookings!$F$5:$F$304,"&gt;="&amp;$B$3,Bookings!$G$5:$G$304,"Checked out"))</x:f>
      </x:c>
      <x:c r="E94" s="66" t="str">
        <x:f>IF(OR(A94="",C94="",$B$3="",$D$3="",$D$3&lt;$B$3),"",MAX(0,C94-D94))</x:f>
      </x:c>
      <x:c r="F94" s="72" t="str">
        <x:f>IF(A94="","",IFERROR(VLOOKUP(A94,Inventory!$A$5:$F$104,5,FALSE),""))</x:f>
      </x:c>
      <x:c r="G94" s="46" t="str">
        <x:f>IF(A94="","",IF(OR($B$3="",$D$3="",$D$3&lt;$B$3),"Check dates",IF(E94&lt;=0,"Unavailable",IF(E94&lt;C94,"Limited","Available"))))</x:f>
      </x:c>
    </x:row>
    <x:row r="95">
      <x:c r="A95" s="44" t="str">
        <x:f>IF(Inventory!A90="","",Inventory!A90)</x:f>
      </x:c>
      <x:c r="B95" s="45" t="str">
        <x:f>IF(A95="","",IFERROR(VLOOKUP(A95,Inventory!$A$5:$F$104,2,FALSE),""))</x:f>
      </x:c>
      <x:c r="C95" s="66" t="str">
        <x:f>IF(A95="","",IFERROR(VLOOKUP(A95,Inventory!$A$5:$F$104,4,FALSE),""))</x:f>
      </x:c>
      <x:c r="D95" s="66" t="str">
        <x:f>IF(OR(A95="",$B$3="",$D$3="",$D$3&lt;$B$3),"",SUMIFS(Bookings!$D$5:$D$304,Bookings!$C$5:$C$304,A95,Bookings!$E$5:$E$304,"&lt;="&amp;$D$3,Bookings!$F$5:$F$304,"&gt;="&amp;$B$3,Bookings!$G$5:$G$304,"Reserved")+SUMIFS(Bookings!$D$5:$D$304,Bookings!$C$5:$C$304,A95,Bookings!$E$5:$E$304,"&lt;="&amp;$D$3,Bookings!$F$5:$F$304,"&gt;="&amp;$B$3,Bookings!$G$5:$G$304,"Checked out"))</x:f>
      </x:c>
      <x:c r="E95" s="66" t="str">
        <x:f>IF(OR(A95="",C95="",$B$3="",$D$3="",$D$3&lt;$B$3),"",MAX(0,C95-D95))</x:f>
      </x:c>
      <x:c r="F95" s="72" t="str">
        <x:f>IF(A95="","",IFERROR(VLOOKUP(A95,Inventory!$A$5:$F$104,5,FALSE),""))</x:f>
      </x:c>
      <x:c r="G95" s="46" t="str">
        <x:f>IF(A95="","",IF(OR($B$3="",$D$3="",$D$3&lt;$B$3),"Check dates",IF(E95&lt;=0,"Unavailable",IF(E95&lt;C95,"Limited","Available"))))</x:f>
      </x:c>
    </x:row>
    <x:row r="96">
      <x:c r="A96" s="44" t="str">
        <x:f>IF(Inventory!A91="","",Inventory!A91)</x:f>
      </x:c>
      <x:c r="B96" s="45" t="str">
        <x:f>IF(A96="","",IFERROR(VLOOKUP(A96,Inventory!$A$5:$F$104,2,FALSE),""))</x:f>
      </x:c>
      <x:c r="C96" s="66" t="str">
        <x:f>IF(A96="","",IFERROR(VLOOKUP(A96,Inventory!$A$5:$F$104,4,FALSE),""))</x:f>
      </x:c>
      <x:c r="D96" s="66" t="str">
        <x:f>IF(OR(A96="",$B$3="",$D$3="",$D$3&lt;$B$3),"",SUMIFS(Bookings!$D$5:$D$304,Bookings!$C$5:$C$304,A96,Bookings!$E$5:$E$304,"&lt;="&amp;$D$3,Bookings!$F$5:$F$304,"&gt;="&amp;$B$3,Bookings!$G$5:$G$304,"Reserved")+SUMIFS(Bookings!$D$5:$D$304,Bookings!$C$5:$C$304,A96,Bookings!$E$5:$E$304,"&lt;="&amp;$D$3,Bookings!$F$5:$F$304,"&gt;="&amp;$B$3,Bookings!$G$5:$G$304,"Checked out"))</x:f>
      </x:c>
      <x:c r="E96" s="66" t="str">
        <x:f>IF(OR(A96="",C96="",$B$3="",$D$3="",$D$3&lt;$B$3),"",MAX(0,C96-D96))</x:f>
      </x:c>
      <x:c r="F96" s="72" t="str">
        <x:f>IF(A96="","",IFERROR(VLOOKUP(A96,Inventory!$A$5:$F$104,5,FALSE),""))</x:f>
      </x:c>
      <x:c r="G96" s="46" t="str">
        <x:f>IF(A96="","",IF(OR($B$3="",$D$3="",$D$3&lt;$B$3),"Check dates",IF(E96&lt;=0,"Unavailable",IF(E96&lt;C96,"Limited","Available"))))</x:f>
      </x:c>
    </x:row>
    <x:row r="97">
      <x:c r="A97" s="44" t="str">
        <x:f>IF(Inventory!A92="","",Inventory!A92)</x:f>
      </x:c>
      <x:c r="B97" s="45" t="str">
        <x:f>IF(A97="","",IFERROR(VLOOKUP(A97,Inventory!$A$5:$F$104,2,FALSE),""))</x:f>
      </x:c>
      <x:c r="C97" s="66" t="str">
        <x:f>IF(A97="","",IFERROR(VLOOKUP(A97,Inventory!$A$5:$F$104,4,FALSE),""))</x:f>
      </x:c>
      <x:c r="D97" s="66" t="str">
        <x:f>IF(OR(A97="",$B$3="",$D$3="",$D$3&lt;$B$3),"",SUMIFS(Bookings!$D$5:$D$304,Bookings!$C$5:$C$304,A97,Bookings!$E$5:$E$304,"&lt;="&amp;$D$3,Bookings!$F$5:$F$304,"&gt;="&amp;$B$3,Bookings!$G$5:$G$304,"Reserved")+SUMIFS(Bookings!$D$5:$D$304,Bookings!$C$5:$C$304,A97,Bookings!$E$5:$E$304,"&lt;="&amp;$D$3,Bookings!$F$5:$F$304,"&gt;="&amp;$B$3,Bookings!$G$5:$G$304,"Checked out"))</x:f>
      </x:c>
      <x:c r="E97" s="66" t="str">
        <x:f>IF(OR(A97="",C97="",$B$3="",$D$3="",$D$3&lt;$B$3),"",MAX(0,C97-D97))</x:f>
      </x:c>
      <x:c r="F97" s="72" t="str">
        <x:f>IF(A97="","",IFERROR(VLOOKUP(A97,Inventory!$A$5:$F$104,5,FALSE),""))</x:f>
      </x:c>
      <x:c r="G97" s="46" t="str">
        <x:f>IF(A97="","",IF(OR($B$3="",$D$3="",$D$3&lt;$B$3),"Check dates",IF(E97&lt;=0,"Unavailable",IF(E97&lt;C97,"Limited","Available"))))</x:f>
      </x:c>
    </x:row>
    <x:row r="98">
      <x:c r="A98" s="44" t="str">
        <x:f>IF(Inventory!A93="","",Inventory!A93)</x:f>
      </x:c>
      <x:c r="B98" s="45" t="str">
        <x:f>IF(A98="","",IFERROR(VLOOKUP(A98,Inventory!$A$5:$F$104,2,FALSE),""))</x:f>
      </x:c>
      <x:c r="C98" s="66" t="str">
        <x:f>IF(A98="","",IFERROR(VLOOKUP(A98,Inventory!$A$5:$F$104,4,FALSE),""))</x:f>
      </x:c>
      <x:c r="D98" s="66" t="str">
        <x:f>IF(OR(A98="",$B$3="",$D$3="",$D$3&lt;$B$3),"",SUMIFS(Bookings!$D$5:$D$304,Bookings!$C$5:$C$304,A98,Bookings!$E$5:$E$304,"&lt;="&amp;$D$3,Bookings!$F$5:$F$304,"&gt;="&amp;$B$3,Bookings!$G$5:$G$304,"Reserved")+SUMIFS(Bookings!$D$5:$D$304,Bookings!$C$5:$C$304,A98,Bookings!$E$5:$E$304,"&lt;="&amp;$D$3,Bookings!$F$5:$F$304,"&gt;="&amp;$B$3,Bookings!$G$5:$G$304,"Checked out"))</x:f>
      </x:c>
      <x:c r="E98" s="66" t="str">
        <x:f>IF(OR(A98="",C98="",$B$3="",$D$3="",$D$3&lt;$B$3),"",MAX(0,C98-D98))</x:f>
      </x:c>
      <x:c r="F98" s="72" t="str">
        <x:f>IF(A98="","",IFERROR(VLOOKUP(A98,Inventory!$A$5:$F$104,5,FALSE),""))</x:f>
      </x:c>
      <x:c r="G98" s="46" t="str">
        <x:f>IF(A98="","",IF(OR($B$3="",$D$3="",$D$3&lt;$B$3),"Check dates",IF(E98&lt;=0,"Unavailable",IF(E98&lt;C98,"Limited","Available"))))</x:f>
      </x:c>
    </x:row>
    <x:row r="99">
      <x:c r="A99" s="44" t="str">
        <x:f>IF(Inventory!A94="","",Inventory!A94)</x:f>
      </x:c>
      <x:c r="B99" s="45" t="str">
        <x:f>IF(A99="","",IFERROR(VLOOKUP(A99,Inventory!$A$5:$F$104,2,FALSE),""))</x:f>
      </x:c>
      <x:c r="C99" s="66" t="str">
        <x:f>IF(A99="","",IFERROR(VLOOKUP(A99,Inventory!$A$5:$F$104,4,FALSE),""))</x:f>
      </x:c>
      <x:c r="D99" s="66" t="str">
        <x:f>IF(OR(A99="",$B$3="",$D$3="",$D$3&lt;$B$3),"",SUMIFS(Bookings!$D$5:$D$304,Bookings!$C$5:$C$304,A99,Bookings!$E$5:$E$304,"&lt;="&amp;$D$3,Bookings!$F$5:$F$304,"&gt;="&amp;$B$3,Bookings!$G$5:$G$304,"Reserved")+SUMIFS(Bookings!$D$5:$D$304,Bookings!$C$5:$C$304,A99,Bookings!$E$5:$E$304,"&lt;="&amp;$D$3,Bookings!$F$5:$F$304,"&gt;="&amp;$B$3,Bookings!$G$5:$G$304,"Checked out"))</x:f>
      </x:c>
      <x:c r="E99" s="66" t="str">
        <x:f>IF(OR(A99="",C99="",$B$3="",$D$3="",$D$3&lt;$B$3),"",MAX(0,C99-D99))</x:f>
      </x:c>
      <x:c r="F99" s="72" t="str">
        <x:f>IF(A99="","",IFERROR(VLOOKUP(A99,Inventory!$A$5:$F$104,5,FALSE),""))</x:f>
      </x:c>
      <x:c r="G99" s="46" t="str">
        <x:f>IF(A99="","",IF(OR($B$3="",$D$3="",$D$3&lt;$B$3),"Check dates",IF(E99&lt;=0,"Unavailable",IF(E99&lt;C99,"Limited","Available"))))</x:f>
      </x:c>
    </x:row>
    <x:row r="100">
      <x:c r="A100" s="44" t="str">
        <x:f>IF(Inventory!A95="","",Inventory!A95)</x:f>
      </x:c>
      <x:c r="B100" s="45" t="str">
        <x:f>IF(A100="","",IFERROR(VLOOKUP(A100,Inventory!$A$5:$F$104,2,FALSE),""))</x:f>
      </x:c>
      <x:c r="C100" s="66" t="str">
        <x:f>IF(A100="","",IFERROR(VLOOKUP(A100,Inventory!$A$5:$F$104,4,FALSE),""))</x:f>
      </x:c>
      <x:c r="D100" s="66" t="str">
        <x:f>IF(OR(A100="",$B$3="",$D$3="",$D$3&lt;$B$3),"",SUMIFS(Bookings!$D$5:$D$304,Bookings!$C$5:$C$304,A100,Bookings!$E$5:$E$304,"&lt;="&amp;$D$3,Bookings!$F$5:$F$304,"&gt;="&amp;$B$3,Bookings!$G$5:$G$304,"Reserved")+SUMIFS(Bookings!$D$5:$D$304,Bookings!$C$5:$C$304,A100,Bookings!$E$5:$E$304,"&lt;="&amp;$D$3,Bookings!$F$5:$F$304,"&gt;="&amp;$B$3,Bookings!$G$5:$G$304,"Checked out"))</x:f>
      </x:c>
      <x:c r="E100" s="66" t="str">
        <x:f>IF(OR(A100="",C100="",$B$3="",$D$3="",$D$3&lt;$B$3),"",MAX(0,C100-D100))</x:f>
      </x:c>
      <x:c r="F100" s="72" t="str">
        <x:f>IF(A100="","",IFERROR(VLOOKUP(A100,Inventory!$A$5:$F$104,5,FALSE),""))</x:f>
      </x:c>
      <x:c r="G100" s="46" t="str">
        <x:f>IF(A100="","",IF(OR($B$3="",$D$3="",$D$3&lt;$B$3),"Check dates",IF(E100&lt;=0,"Unavailable",IF(E100&lt;C100,"Limited","Available"))))</x:f>
      </x:c>
    </x:row>
    <x:row r="101">
      <x:c r="A101" s="44" t="str">
        <x:f>IF(Inventory!A96="","",Inventory!A96)</x:f>
      </x:c>
      <x:c r="B101" s="45" t="str">
        <x:f>IF(A101="","",IFERROR(VLOOKUP(A101,Inventory!$A$5:$F$104,2,FALSE),""))</x:f>
      </x:c>
      <x:c r="C101" s="66" t="str">
        <x:f>IF(A101="","",IFERROR(VLOOKUP(A101,Inventory!$A$5:$F$104,4,FALSE),""))</x:f>
      </x:c>
      <x:c r="D101" s="66" t="str">
        <x:f>IF(OR(A101="",$B$3="",$D$3="",$D$3&lt;$B$3),"",SUMIFS(Bookings!$D$5:$D$304,Bookings!$C$5:$C$304,A101,Bookings!$E$5:$E$304,"&lt;="&amp;$D$3,Bookings!$F$5:$F$304,"&gt;="&amp;$B$3,Bookings!$G$5:$G$304,"Reserved")+SUMIFS(Bookings!$D$5:$D$304,Bookings!$C$5:$C$304,A101,Bookings!$E$5:$E$304,"&lt;="&amp;$D$3,Bookings!$F$5:$F$304,"&gt;="&amp;$B$3,Bookings!$G$5:$G$304,"Checked out"))</x:f>
      </x:c>
      <x:c r="E101" s="66" t="str">
        <x:f>IF(OR(A101="",C101="",$B$3="",$D$3="",$D$3&lt;$B$3),"",MAX(0,C101-D101))</x:f>
      </x:c>
      <x:c r="F101" s="72" t="str">
        <x:f>IF(A101="","",IFERROR(VLOOKUP(A101,Inventory!$A$5:$F$104,5,FALSE),""))</x:f>
      </x:c>
      <x:c r="G101" s="46" t="str">
        <x:f>IF(A101="","",IF(OR($B$3="",$D$3="",$D$3&lt;$B$3),"Check dates",IF(E101&lt;=0,"Unavailable",IF(E101&lt;C101,"Limited","Available"))))</x:f>
      </x:c>
    </x:row>
    <x:row r="102">
      <x:c r="A102" s="44" t="str">
        <x:f>IF(Inventory!A97="","",Inventory!A97)</x:f>
      </x:c>
      <x:c r="B102" s="45" t="str">
        <x:f>IF(A102="","",IFERROR(VLOOKUP(A102,Inventory!$A$5:$F$104,2,FALSE),""))</x:f>
      </x:c>
      <x:c r="C102" s="66" t="str">
        <x:f>IF(A102="","",IFERROR(VLOOKUP(A102,Inventory!$A$5:$F$104,4,FALSE),""))</x:f>
      </x:c>
      <x:c r="D102" s="66" t="str">
        <x:f>IF(OR(A102="",$B$3="",$D$3="",$D$3&lt;$B$3),"",SUMIFS(Bookings!$D$5:$D$304,Bookings!$C$5:$C$304,A102,Bookings!$E$5:$E$304,"&lt;="&amp;$D$3,Bookings!$F$5:$F$304,"&gt;="&amp;$B$3,Bookings!$G$5:$G$304,"Reserved")+SUMIFS(Bookings!$D$5:$D$304,Bookings!$C$5:$C$304,A102,Bookings!$E$5:$E$304,"&lt;="&amp;$D$3,Bookings!$F$5:$F$304,"&gt;="&amp;$B$3,Bookings!$G$5:$G$304,"Checked out"))</x:f>
      </x:c>
      <x:c r="E102" s="66" t="str">
        <x:f>IF(OR(A102="",C102="",$B$3="",$D$3="",$D$3&lt;$B$3),"",MAX(0,C102-D102))</x:f>
      </x:c>
      <x:c r="F102" s="72" t="str">
        <x:f>IF(A102="","",IFERROR(VLOOKUP(A102,Inventory!$A$5:$F$104,5,FALSE),""))</x:f>
      </x:c>
      <x:c r="G102" s="46" t="str">
        <x:f>IF(A102="","",IF(OR($B$3="",$D$3="",$D$3&lt;$B$3),"Check dates",IF(E102&lt;=0,"Unavailable",IF(E102&lt;C102,"Limited","Available"))))</x:f>
      </x:c>
    </x:row>
    <x:row r="103">
      <x:c r="A103" s="44" t="str">
        <x:f>IF(Inventory!A98="","",Inventory!A98)</x:f>
      </x:c>
      <x:c r="B103" s="45" t="str">
        <x:f>IF(A103="","",IFERROR(VLOOKUP(A103,Inventory!$A$5:$F$104,2,FALSE),""))</x:f>
      </x:c>
      <x:c r="C103" s="66" t="str">
        <x:f>IF(A103="","",IFERROR(VLOOKUP(A103,Inventory!$A$5:$F$104,4,FALSE),""))</x:f>
      </x:c>
      <x:c r="D103" s="66" t="str">
        <x:f>IF(OR(A103="",$B$3="",$D$3="",$D$3&lt;$B$3),"",SUMIFS(Bookings!$D$5:$D$304,Bookings!$C$5:$C$304,A103,Bookings!$E$5:$E$304,"&lt;="&amp;$D$3,Bookings!$F$5:$F$304,"&gt;="&amp;$B$3,Bookings!$G$5:$G$304,"Reserved")+SUMIFS(Bookings!$D$5:$D$304,Bookings!$C$5:$C$304,A103,Bookings!$E$5:$E$304,"&lt;="&amp;$D$3,Bookings!$F$5:$F$304,"&gt;="&amp;$B$3,Bookings!$G$5:$G$304,"Checked out"))</x:f>
      </x:c>
      <x:c r="E103" s="66" t="str">
        <x:f>IF(OR(A103="",C103="",$B$3="",$D$3="",$D$3&lt;$B$3),"",MAX(0,C103-D103))</x:f>
      </x:c>
      <x:c r="F103" s="72" t="str">
        <x:f>IF(A103="","",IFERROR(VLOOKUP(A103,Inventory!$A$5:$F$104,5,FALSE),""))</x:f>
      </x:c>
      <x:c r="G103" s="46" t="str">
        <x:f>IF(A103="","",IF(OR($B$3="",$D$3="",$D$3&lt;$B$3),"Check dates",IF(E103&lt;=0,"Unavailable",IF(E103&lt;C103,"Limited","Available"))))</x:f>
      </x:c>
    </x:row>
    <x:row r="104">
      <x:c r="A104" s="44" t="str">
        <x:f>IF(Inventory!A99="","",Inventory!A99)</x:f>
      </x:c>
      <x:c r="B104" s="45" t="str">
        <x:f>IF(A104="","",IFERROR(VLOOKUP(A104,Inventory!$A$5:$F$104,2,FALSE),""))</x:f>
      </x:c>
      <x:c r="C104" s="66" t="str">
        <x:f>IF(A104="","",IFERROR(VLOOKUP(A104,Inventory!$A$5:$F$104,4,FALSE),""))</x:f>
      </x:c>
      <x:c r="D104" s="66" t="str">
        <x:f>IF(OR(A104="",$B$3="",$D$3="",$D$3&lt;$B$3),"",SUMIFS(Bookings!$D$5:$D$304,Bookings!$C$5:$C$304,A104,Bookings!$E$5:$E$304,"&lt;="&amp;$D$3,Bookings!$F$5:$F$304,"&gt;="&amp;$B$3,Bookings!$G$5:$G$304,"Reserved")+SUMIFS(Bookings!$D$5:$D$304,Bookings!$C$5:$C$304,A104,Bookings!$E$5:$E$304,"&lt;="&amp;$D$3,Bookings!$F$5:$F$304,"&gt;="&amp;$B$3,Bookings!$G$5:$G$304,"Checked out"))</x:f>
      </x:c>
      <x:c r="E104" s="66" t="str">
        <x:f>IF(OR(A104="",C104="",$B$3="",$D$3="",$D$3&lt;$B$3),"",MAX(0,C104-D104))</x:f>
      </x:c>
      <x:c r="F104" s="72" t="str">
        <x:f>IF(A104="","",IFERROR(VLOOKUP(A104,Inventory!$A$5:$F$104,5,FALSE),""))</x:f>
      </x:c>
      <x:c r="G104" s="46" t="str">
        <x:f>IF(A104="","",IF(OR($B$3="",$D$3="",$D$3&lt;$B$3),"Check dates",IF(E104&lt;=0,"Unavailable",IF(E104&lt;C104,"Limited","Available"))))</x:f>
      </x:c>
    </x:row>
    <x:row r="105">
      <x:c r="A105" s="44" t="str">
        <x:f>IF(Inventory!A100="","",Inventory!A100)</x:f>
      </x:c>
      <x:c r="B105" s="45" t="str">
        <x:f>IF(A105="","",IFERROR(VLOOKUP(A105,Inventory!$A$5:$F$104,2,FALSE),""))</x:f>
      </x:c>
      <x:c r="C105" s="66" t="str">
        <x:f>IF(A105="","",IFERROR(VLOOKUP(A105,Inventory!$A$5:$F$104,4,FALSE),""))</x:f>
      </x:c>
      <x:c r="D105" s="66" t="str">
        <x:f>IF(OR(A105="",$B$3="",$D$3="",$D$3&lt;$B$3),"",SUMIFS(Bookings!$D$5:$D$304,Bookings!$C$5:$C$304,A105,Bookings!$E$5:$E$304,"&lt;="&amp;$D$3,Bookings!$F$5:$F$304,"&gt;="&amp;$B$3,Bookings!$G$5:$G$304,"Reserved")+SUMIFS(Bookings!$D$5:$D$304,Bookings!$C$5:$C$304,A105,Bookings!$E$5:$E$304,"&lt;="&amp;$D$3,Bookings!$F$5:$F$304,"&gt;="&amp;$B$3,Bookings!$G$5:$G$304,"Checked out"))</x:f>
      </x:c>
      <x:c r="E105" s="66" t="str">
        <x:f>IF(OR(A105="",C105="",$B$3="",$D$3="",$D$3&lt;$B$3),"",MAX(0,C105-D105))</x:f>
      </x:c>
      <x:c r="F105" s="72" t="str">
        <x:f>IF(A105="","",IFERROR(VLOOKUP(A105,Inventory!$A$5:$F$104,5,FALSE),""))</x:f>
      </x:c>
      <x:c r="G105" s="46" t="str">
        <x:f>IF(A105="","",IF(OR($B$3="",$D$3="",$D$3&lt;$B$3),"Check dates",IF(E105&lt;=0,"Unavailable",IF(E105&lt;C105,"Limited","Available"))))</x:f>
      </x:c>
    </x:row>
    <x:row r="106">
      <x:c r="A106" s="44" t="str">
        <x:f>IF(Inventory!A101="","",Inventory!A101)</x:f>
      </x:c>
      <x:c r="B106" s="45" t="str">
        <x:f>IF(A106="","",IFERROR(VLOOKUP(A106,Inventory!$A$5:$F$104,2,FALSE),""))</x:f>
      </x:c>
      <x:c r="C106" s="66" t="str">
        <x:f>IF(A106="","",IFERROR(VLOOKUP(A106,Inventory!$A$5:$F$104,4,FALSE),""))</x:f>
      </x:c>
      <x:c r="D106" s="66" t="str">
        <x:f>IF(OR(A106="",$B$3="",$D$3="",$D$3&lt;$B$3),"",SUMIFS(Bookings!$D$5:$D$304,Bookings!$C$5:$C$304,A106,Bookings!$E$5:$E$304,"&lt;="&amp;$D$3,Bookings!$F$5:$F$304,"&gt;="&amp;$B$3,Bookings!$G$5:$G$304,"Reserved")+SUMIFS(Bookings!$D$5:$D$304,Bookings!$C$5:$C$304,A106,Bookings!$E$5:$E$304,"&lt;="&amp;$D$3,Bookings!$F$5:$F$304,"&gt;="&amp;$B$3,Bookings!$G$5:$G$304,"Checked out"))</x:f>
      </x:c>
      <x:c r="E106" s="66" t="str">
        <x:f>IF(OR(A106="",C106="",$B$3="",$D$3="",$D$3&lt;$B$3),"",MAX(0,C106-D106))</x:f>
      </x:c>
      <x:c r="F106" s="72" t="str">
        <x:f>IF(A106="","",IFERROR(VLOOKUP(A106,Inventory!$A$5:$F$104,5,FALSE),""))</x:f>
      </x:c>
      <x:c r="G106" s="46" t="str">
        <x:f>IF(A106="","",IF(OR($B$3="",$D$3="",$D$3&lt;$B$3),"Check dates",IF(E106&lt;=0,"Unavailable",IF(E106&lt;C106,"Limited","Available"))))</x:f>
      </x:c>
    </x:row>
    <x:row r="107">
      <x:c r="A107" s="44" t="str">
        <x:f>IF(Inventory!A102="","",Inventory!A102)</x:f>
      </x:c>
      <x:c r="B107" s="45" t="str">
        <x:f>IF(A107="","",IFERROR(VLOOKUP(A107,Inventory!$A$5:$F$104,2,FALSE),""))</x:f>
      </x:c>
      <x:c r="C107" s="66" t="str">
        <x:f>IF(A107="","",IFERROR(VLOOKUP(A107,Inventory!$A$5:$F$104,4,FALSE),""))</x:f>
      </x:c>
      <x:c r="D107" s="66" t="str">
        <x:f>IF(OR(A107="",$B$3="",$D$3="",$D$3&lt;$B$3),"",SUMIFS(Bookings!$D$5:$D$304,Bookings!$C$5:$C$304,A107,Bookings!$E$5:$E$304,"&lt;="&amp;$D$3,Bookings!$F$5:$F$304,"&gt;="&amp;$B$3,Bookings!$G$5:$G$304,"Reserved")+SUMIFS(Bookings!$D$5:$D$304,Bookings!$C$5:$C$304,A107,Bookings!$E$5:$E$304,"&lt;="&amp;$D$3,Bookings!$F$5:$F$304,"&gt;="&amp;$B$3,Bookings!$G$5:$G$304,"Checked out"))</x:f>
      </x:c>
      <x:c r="E107" s="66" t="str">
        <x:f>IF(OR(A107="",C107="",$B$3="",$D$3="",$D$3&lt;$B$3),"",MAX(0,C107-D107))</x:f>
      </x:c>
      <x:c r="F107" s="72" t="str">
        <x:f>IF(A107="","",IFERROR(VLOOKUP(A107,Inventory!$A$5:$F$104,5,FALSE),""))</x:f>
      </x:c>
      <x:c r="G107" s="46" t="str">
        <x:f>IF(A107="","",IF(OR($B$3="",$D$3="",$D$3&lt;$B$3),"Check dates",IF(E107&lt;=0,"Unavailable",IF(E107&lt;C107,"Limited","Available"))))</x:f>
      </x:c>
    </x:row>
    <x:row r="108">
      <x:c r="A108" s="44" t="str">
        <x:f>IF(Inventory!A103="","",Inventory!A103)</x:f>
      </x:c>
      <x:c r="B108" s="45" t="str">
        <x:f>IF(A108="","",IFERROR(VLOOKUP(A108,Inventory!$A$5:$F$104,2,FALSE),""))</x:f>
      </x:c>
      <x:c r="C108" s="66" t="str">
        <x:f>IF(A108="","",IFERROR(VLOOKUP(A108,Inventory!$A$5:$F$104,4,FALSE),""))</x:f>
      </x:c>
      <x:c r="D108" s="66" t="str">
        <x:f>IF(OR(A108="",$B$3="",$D$3="",$D$3&lt;$B$3),"",SUMIFS(Bookings!$D$5:$D$304,Bookings!$C$5:$C$304,A108,Bookings!$E$5:$E$304,"&lt;="&amp;$D$3,Bookings!$F$5:$F$304,"&gt;="&amp;$B$3,Bookings!$G$5:$G$304,"Reserved")+SUMIFS(Bookings!$D$5:$D$304,Bookings!$C$5:$C$304,A108,Bookings!$E$5:$E$304,"&lt;="&amp;$D$3,Bookings!$F$5:$F$304,"&gt;="&amp;$B$3,Bookings!$G$5:$G$304,"Checked out"))</x:f>
      </x:c>
      <x:c r="E108" s="66" t="str">
        <x:f>IF(OR(A108="",C108="",$B$3="",$D$3="",$D$3&lt;$B$3),"",MAX(0,C108-D108))</x:f>
      </x:c>
      <x:c r="F108" s="72" t="str">
        <x:f>IF(A108="","",IFERROR(VLOOKUP(A108,Inventory!$A$5:$F$104,5,FALSE),""))</x:f>
      </x:c>
      <x:c r="G108" s="46" t="str">
        <x:f>IF(A108="","",IF(OR($B$3="",$D$3="",$D$3&lt;$B$3),"Check dates",IF(E108&lt;=0,"Unavailable",IF(E108&lt;C108,"Limited","Available"))))</x:f>
      </x:c>
    </x:row>
    <x:row r="109">
      <x:c r="A109" s="47" t="str">
        <x:f>IF(Inventory!A104="","",Inventory!A104)</x:f>
      </x:c>
      <x:c r="B109" s="48" t="str">
        <x:f>IF(A109="","",IFERROR(VLOOKUP(A109,Inventory!$A$5:$F$104,2,FALSE),""))</x:f>
      </x:c>
      <x:c r="C109" s="67" t="str">
        <x:f>IF(A109="","",IFERROR(VLOOKUP(A109,Inventory!$A$5:$F$104,4,FALSE),""))</x:f>
      </x:c>
      <x:c r="D109" s="67" t="str">
        <x:f>IF(OR(A109="",$B$3="",$D$3="",$D$3&lt;$B$3),"",SUMIFS(Bookings!$D$5:$D$304,Bookings!$C$5:$C$304,A109,Bookings!$E$5:$E$304,"&lt;="&amp;$D$3,Bookings!$F$5:$F$304,"&gt;="&amp;$B$3,Bookings!$G$5:$G$304,"Reserved")+SUMIFS(Bookings!$D$5:$D$304,Bookings!$C$5:$C$304,A109,Bookings!$E$5:$E$304,"&lt;="&amp;$D$3,Bookings!$F$5:$F$304,"&gt;="&amp;$B$3,Bookings!$G$5:$G$304,"Checked out"))</x:f>
      </x:c>
      <x:c r="E109" s="67" t="str">
        <x:f>IF(OR(A109="",C109="",$B$3="",$D$3="",$D$3&lt;$B$3),"",MAX(0,C109-D109))</x:f>
      </x:c>
      <x:c r="F109" s="73" t="str">
        <x:f>IF(A109="","",IFERROR(VLOOKUP(A109,Inventory!$A$5:$F$104,5,FALSE),""))</x:f>
      </x:c>
      <x:c r="G109" s="49" t="str">
        <x:f>IF(A109="","",IF(OR($B$3="",$D$3="",$D$3&lt;$B$3),"Check dates",IF(E109&lt;=0,"Unavailable",IF(E109&lt;C109,"Limited","Available"))))</x:f>
      </x:c>
    </x:row>
  </x:sheetData>
  <x:mergeCells>
    <x:mergeCell ref="A1:G1"/>
    <x:mergeCell ref="A2:G2"/>
    <x:mergeCell ref="A5:B5"/>
    <x:mergeCell ref="C5:D5"/>
    <x:mergeCell ref="E5:F5"/>
    <x:mergeCell ref="A6:B6"/>
    <x:mergeCell ref="C6:D6"/>
    <x:mergeCell ref="E6:F6"/>
  </x:mergeCells>
  <x:conditionalFormatting sqref="G3:G3">
    <x:cfRule type="expression" dxfId="6" priority="1">
      <x:formula>$G$3="End date is before start date"</x:formula>
    </x:cfRule>
    <x:cfRule type="expression" dxfId="7" priority="2">
      <x:formula>$G$3="Ready"</x:formula>
    </x:cfRule>
  </x:conditionalFormatting>
  <x:conditionalFormatting sqref="G10:G109">
    <x:cfRule type="expression" dxfId="8" priority="3">
      <x:formula>G10="Available"</x:formula>
    </x:cfRule>
    <x:cfRule type="expression" dxfId="9" priority="4">
      <x:formula>G10="Limited"</x:formula>
    </x:cfRule>
    <x:cfRule type="expression" dxfId="10" priority="5">
      <x:formula>G10="Unavailable"</x:formula>
    </x:cfRule>
    <x:cfRule type="expression" dxfId="12" priority="7">
      <x:formula>G10="Check dates"</x:formula>
    </x:cfRule>
  </x:conditionalFormatting>
  <x:conditionalFormatting sqref="D10:D109">
    <x:cfRule type="expression" dxfId="11" priority="6">
      <x:formula>AND(D10&lt;&gt;"",C10&lt;&gt;"",D10&gt;C10)</x:formula>
    </x:cfRule>
  </x:conditionalFormatting>
  <x:pageMargins left="0.7" right="0.7" top="0.75" bottom="0.75" header="0.3" footer="0.3"/>
</x:worksheet>
</file>